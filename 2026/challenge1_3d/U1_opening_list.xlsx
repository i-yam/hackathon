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List" sheetId="1" state="visible" r:id="rId3"/>
    <sheet name="All Detection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<sst xmlns="http://schemas.openxmlformats.org/spreadsheetml/2006/main" count="911" uniqueCount="171">
  <si>
    <t xml:space="preserve">Floor-Slab Opening List  —  Floor U1  (auto-generated from construction plans)</t>
  </si>
  <si>
    <t xml:space="preserve">Concrete 3D-printing prefabrication  ·  scale 1:50  ·  weight = displaced concrete volume × 2.4 t/m³</t>
  </si>
  <si>
    <t xml:space="preserve">Opening ID</t>
  </si>
  <si>
    <t xml:space="preserve">Floor</t>
  </si>
  <si>
    <t xml:space="preserve">Plan(s)</t>
  </si>
  <si>
    <t xml:space="preserve"># Plans</t>
  </si>
  <si>
    <t xml:space="preserve">Label</t>
  </si>
  <si>
    <t xml:space="preserve">Type</t>
  </si>
  <si>
    <t xml:space="preserve">Geometry</t>
  </si>
  <si>
    <t xml:space="preserve">Length (cm)</t>
  </si>
  <si>
    <t xml:space="preserve">Width (cm)</t>
  </si>
  <si>
    <t xml:space="preserve">Slab height (cm)</t>
  </si>
  <si>
    <t xml:space="preserve">Slab top (m)</t>
  </si>
  <si>
    <t xml:space="preserve">Weight (kg)</t>
  </si>
  <si>
    <t xml:space="preserve">Pos X (mm)</t>
  </si>
  <si>
    <t xml:space="preserve">Pos Y (mm)</t>
  </si>
  <si>
    <t xml:space="preserve">U1-001</t>
  </si>
  <si>
    <t xml:space="preserve">U1</t>
  </si>
  <si>
    <t xml:space="preserve">0001</t>
  </si>
  <si>
    <t xml:space="preserve">DDB60/45</t>
  </si>
  <si>
    <t xml:space="preserve">Ceiling</t>
  </si>
  <si>
    <t xml:space="preserve">rectangular</t>
  </si>
  <si>
    <t xml:space="preserve">U1-002</t>
  </si>
  <si>
    <t xml:space="preserve">DDB200/50</t>
  </si>
  <si>
    <t xml:space="preserve">U1-003</t>
  </si>
  <si>
    <t xml:space="preserve">DDB20/50</t>
  </si>
  <si>
    <t xml:space="preserve">U1-004</t>
  </si>
  <si>
    <t xml:space="preserve">DDB20/60</t>
  </si>
  <si>
    <t xml:space="preserve">U1-005</t>
  </si>
  <si>
    <t xml:space="preserve">U1-006</t>
  </si>
  <si>
    <t xml:space="preserve">DDB6/50</t>
  </si>
  <si>
    <t xml:space="preserve">U1-007</t>
  </si>
  <si>
    <t xml:space="preserve">DDB25/55</t>
  </si>
  <si>
    <t xml:space="preserve">U1-008</t>
  </si>
  <si>
    <t xml:space="preserve">DDB39/34</t>
  </si>
  <si>
    <t xml:space="preserve">U1-009</t>
  </si>
  <si>
    <t xml:space="preserve">DDB94/164</t>
  </si>
  <si>
    <t xml:space="preserve">U1-010</t>
  </si>
  <si>
    <t xml:space="preserve">DDB39/44</t>
  </si>
  <si>
    <t xml:space="preserve">U1-011</t>
  </si>
  <si>
    <t xml:space="preserve">DDB10/25</t>
  </si>
  <si>
    <t xml:space="preserve">U1-012</t>
  </si>
  <si>
    <t xml:space="preserve">DDB114/74</t>
  </si>
  <si>
    <t xml:space="preserve">U1-013</t>
  </si>
  <si>
    <t xml:space="preserve">DDB90/139</t>
  </si>
  <si>
    <t xml:space="preserve">U1-014</t>
  </si>
  <si>
    <t xml:space="preserve">DDB15/120</t>
  </si>
  <si>
    <t xml:space="preserve">U1-015</t>
  </si>
  <si>
    <t xml:space="preserve">DDB20/135</t>
  </si>
  <si>
    <t xml:space="preserve">U1-016</t>
  </si>
  <si>
    <t xml:space="preserve">DDB100/6</t>
  </si>
  <si>
    <t xml:space="preserve">U1-017</t>
  </si>
  <si>
    <t xml:space="preserve">0002</t>
  </si>
  <si>
    <t xml:space="preserve">DDB25/40</t>
  </si>
  <si>
    <t xml:space="preserve">U1-018</t>
  </si>
  <si>
    <t xml:space="preserve">U1-019</t>
  </si>
  <si>
    <t xml:space="preserve">U1-020</t>
  </si>
  <si>
    <t xml:space="preserve">U1-021</t>
  </si>
  <si>
    <t xml:space="preserve">DDB434/184</t>
  </si>
  <si>
    <t xml:space="preserve">U1-022</t>
  </si>
  <si>
    <t xml:space="preserve">DDB250/20</t>
  </si>
  <si>
    <t xml:space="preserve">U1-023</t>
  </si>
  <si>
    <t xml:space="preserve">DDB55/25</t>
  </si>
  <si>
    <t xml:space="preserve">U1-024</t>
  </si>
  <si>
    <t xml:space="preserve">DDB55/100</t>
  </si>
  <si>
    <t xml:space="preserve">U1-025</t>
  </si>
  <si>
    <t xml:space="preserve">DDB85/100</t>
  </si>
  <si>
    <t xml:space="preserve">U1-026</t>
  </si>
  <si>
    <t xml:space="preserve">DDB130/140</t>
  </si>
  <si>
    <t xml:space="preserve">U1-027</t>
  </si>
  <si>
    <t xml:space="preserve">DDB100/270</t>
  </si>
  <si>
    <t xml:space="preserve">U1-028</t>
  </si>
  <si>
    <t xml:space="preserve">U1-029</t>
  </si>
  <si>
    <t xml:space="preserve">DDB84/94</t>
  </si>
  <si>
    <t xml:space="preserve">U1-030</t>
  </si>
  <si>
    <t xml:space="preserve">DDB64/114</t>
  </si>
  <si>
    <t xml:space="preserve">U1-031</t>
  </si>
  <si>
    <t xml:space="preserve">DDB160/30</t>
  </si>
  <si>
    <t xml:space="preserve">U1-032</t>
  </si>
  <si>
    <t xml:space="preserve">DDB54/54</t>
  </si>
  <si>
    <t xml:space="preserve">round</t>
  </si>
  <si>
    <t xml:space="preserve">U1-033</t>
  </si>
  <si>
    <t xml:space="preserve">DDB154/94</t>
  </si>
  <si>
    <t xml:space="preserve">U1-034</t>
  </si>
  <si>
    <t xml:space="preserve">DDB35/10</t>
  </si>
  <si>
    <t xml:space="preserve">U1-035</t>
  </si>
  <si>
    <t xml:space="preserve">0003</t>
  </si>
  <si>
    <t xml:space="preserve">U1-036</t>
  </si>
  <si>
    <t xml:space="preserve">DDB50/20</t>
  </si>
  <si>
    <t xml:space="preserve">U1-037</t>
  </si>
  <si>
    <t xml:space="preserve">U1-038</t>
  </si>
  <si>
    <t xml:space="preserve">U1-039</t>
  </si>
  <si>
    <t xml:space="preserve">U1-040</t>
  </si>
  <si>
    <t xml:space="preserve">U1-041</t>
  </si>
  <si>
    <t xml:space="preserve">U1-042</t>
  </si>
  <si>
    <t xml:space="preserve">U1-043</t>
  </si>
  <si>
    <t xml:space="preserve">U1-044</t>
  </si>
  <si>
    <t xml:space="preserve">U1-045</t>
  </si>
  <si>
    <t xml:space="preserve">U1-046</t>
  </si>
  <si>
    <t xml:space="preserve">DDB60/30</t>
  </si>
  <si>
    <t xml:space="preserve">U1-047</t>
  </si>
  <si>
    <t xml:space="preserve">DDB60/60</t>
  </si>
  <si>
    <t xml:space="preserve">U1-048</t>
  </si>
  <si>
    <t xml:space="preserve">DDB15/20</t>
  </si>
  <si>
    <t xml:space="preserve">U1-049</t>
  </si>
  <si>
    <t xml:space="preserve">0002, 0004</t>
  </si>
  <si>
    <t xml:space="preserve">U1-050</t>
  </si>
  <si>
    <t xml:space="preserve">0004</t>
  </si>
  <si>
    <t xml:space="preserve">DDB60/40</t>
  </si>
  <si>
    <t xml:space="preserve">U1-051</t>
  </si>
  <si>
    <t xml:space="preserve">DDB25/100</t>
  </si>
  <si>
    <t xml:space="preserve">U1-052</t>
  </si>
  <si>
    <t xml:space="preserve">U1-053</t>
  </si>
  <si>
    <t xml:space="preserve">U1-054</t>
  </si>
  <si>
    <t xml:space="preserve">DDB60/70</t>
  </si>
  <si>
    <t xml:space="preserve">U1-055</t>
  </si>
  <si>
    <t xml:space="preserve">0003, 0004</t>
  </si>
  <si>
    <t xml:space="preserve">DDB30/20</t>
  </si>
  <si>
    <t xml:space="preserve">U1-056</t>
  </si>
  <si>
    <t xml:space="preserve">DDB20/15</t>
  </si>
  <si>
    <t xml:space="preserve">U1-057</t>
  </si>
  <si>
    <t xml:space="preserve">DDB20/20</t>
  </si>
  <si>
    <t xml:space="preserve">U1-058</t>
  </si>
  <si>
    <t xml:space="preserve">0005</t>
  </si>
  <si>
    <t xml:space="preserve">U1-059</t>
  </si>
  <si>
    <t xml:space="preserve">0001, 0005</t>
  </si>
  <si>
    <t xml:space="preserve">DDB35/65</t>
  </si>
  <si>
    <t xml:space="preserve">U1-060</t>
  </si>
  <si>
    <t xml:space="preserve">U1-061</t>
  </si>
  <si>
    <t xml:space="preserve">U1-062</t>
  </si>
  <si>
    <t xml:space="preserve">U1-063</t>
  </si>
  <si>
    <t xml:space="preserve">0006</t>
  </si>
  <si>
    <t xml:space="preserve">U1-064</t>
  </si>
  <si>
    <t xml:space="preserve">U1-065</t>
  </si>
  <si>
    <t xml:space="preserve">U1-066</t>
  </si>
  <si>
    <t xml:space="preserve">U1-067</t>
  </si>
  <si>
    <t xml:space="preserve">U1-068</t>
  </si>
  <si>
    <t xml:space="preserve">U1-069</t>
  </si>
  <si>
    <t xml:space="preserve">U1-070</t>
  </si>
  <si>
    <t xml:space="preserve">U1-071</t>
  </si>
  <si>
    <t xml:space="preserve">U1-072</t>
  </si>
  <si>
    <t xml:space="preserve">U1-073</t>
  </si>
  <si>
    <t xml:space="preserve">U1-074</t>
  </si>
  <si>
    <t xml:space="preserve">U1-075</t>
  </si>
  <si>
    <t xml:space="preserve">TOTAL</t>
  </si>
  <si>
    <t xml:space="preserve">Every raw detection (before cross-plan dedup) — audit trail</t>
  </si>
  <si>
    <t xml:space="preserve">Is duplicate</t>
  </si>
  <si>
    <t xml:space="preserve">Plan</t>
  </si>
  <si>
    <t xml:space="preserve">X (pt)</t>
  </si>
  <si>
    <t xml:space="preserve">Y (pt)</t>
  </si>
  <si>
    <t xml:space="preserve">SP_U1_0001</t>
  </si>
  <si>
    <t xml:space="preserve">SP_U1_0002</t>
  </si>
  <si>
    <t xml:space="preserve">SP_U1_0003</t>
  </si>
  <si>
    <t xml:space="preserve">DUP</t>
  </si>
  <si>
    <t xml:space="preserve">SP_U1_0004</t>
  </si>
  <si>
    <t xml:space="preserve">SP_U1_0005</t>
  </si>
  <si>
    <t xml:space="preserve">SP_U1_0006</t>
  </si>
  <si>
    <t xml:space="preserve">Summary — Floor U1</t>
  </si>
  <si>
    <t xml:space="preserve">Plans processed</t>
  </si>
  <si>
    <t xml:space="preserve">Raw detections</t>
  </si>
  <si>
    <t xml:space="preserve">After double-draw collapse</t>
  </si>
  <si>
    <t xml:space="preserve">Unique physical openings (after dedup)</t>
  </si>
  <si>
    <t xml:space="preserve">Cross-plan duplicates removed</t>
  </si>
  <si>
    <t xml:space="preserve">Openings appearing in &gt;1 plan</t>
  </si>
  <si>
    <t xml:space="preserve">Ceiling / slab openings</t>
  </si>
  <si>
    <t xml:space="preserve">Wall openings</t>
  </si>
  <si>
    <t xml:space="preserve">Round openings</t>
  </si>
  <si>
    <t xml:space="preserve">Rectangular openings</t>
  </si>
  <si>
    <t xml:space="preserve">Total fabrication weight (kg)</t>
  </si>
  <si>
    <t xml:space="preserve">Heaviest single element (kg)</t>
  </si>
  <si>
    <t xml:space="preserve">Lightest single element (kg)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</si>
</sst>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1E1E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81E1E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81E1E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4" min="1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5" t="s">
        <v>18</v>
      </c>
      <c r="D5" s="4" t="n">
        <v>1</v>
      </c>
      <c r="E5" s="4" t="s">
        <v>19</v>
      </c>
      <c r="F5" s="4" t="s">
        <v>20</v>
      </c>
      <c r="G5" s="4" t="s">
        <v>21</v>
      </c>
      <c r="H5" s="4" t="n">
        <v>60</v>
      </c>
      <c r="I5" s="4" t="n">
        <v>45</v>
      </c>
      <c r="J5" s="4" t="n">
        <v>30</v>
      </c>
      <c r="K5" s="4" t="n">
        <v>-0.15</v>
      </c>
      <c r="L5" s="6" t="n">
        <f aca="false">IF(G5="round",PI()/4*H5*I5,H5*I5)*J5*2.4/1000</f>
        <v>194.4</v>
      </c>
      <c r="M5" s="4" t="n">
        <v>12995</v>
      </c>
      <c r="N5" s="4" t="n">
        <v>55757</v>
      </c>
    </row>
    <row r="6" customFormat="false" ht="15" hidden="false" customHeight="false" outlineLevel="0" collapsed="false">
      <c r="A6" s="7" t="s">
        <v>22</v>
      </c>
      <c r="B6" s="7" t="s">
        <v>17</v>
      </c>
      <c r="C6" s="8" t="s">
        <v>18</v>
      </c>
      <c r="D6" s="7" t="n">
        <v>1</v>
      </c>
      <c r="E6" s="7" t="s">
        <v>23</v>
      </c>
      <c r="F6" s="7" t="s">
        <v>20</v>
      </c>
      <c r="G6" s="7" t="s">
        <v>21</v>
      </c>
      <c r="H6" s="7" t="n">
        <v>200</v>
      </c>
      <c r="I6" s="7" t="n">
        <v>50</v>
      </c>
      <c r="J6" s="7" t="n">
        <v>25</v>
      </c>
      <c r="K6" s="7" t="n">
        <v>-0.8</v>
      </c>
      <c r="L6" s="9" t="n">
        <f aca="false">IF(G6="round",PI()/4*H6*I6,H6*I6)*J6*2.4/1000</f>
        <v>600</v>
      </c>
      <c r="M6" s="7" t="n">
        <v>16934</v>
      </c>
      <c r="N6" s="7" t="n">
        <v>26125</v>
      </c>
    </row>
    <row r="7" customFormat="false" ht="15" hidden="false" customHeight="false" outlineLevel="0" collapsed="false">
      <c r="A7" s="4" t="s">
        <v>24</v>
      </c>
      <c r="B7" s="4" t="s">
        <v>17</v>
      </c>
      <c r="C7" s="5" t="s">
        <v>18</v>
      </c>
      <c r="D7" s="4" t="n">
        <v>1</v>
      </c>
      <c r="E7" s="4" t="s">
        <v>25</v>
      </c>
      <c r="F7" s="4" t="s">
        <v>20</v>
      </c>
      <c r="G7" s="4" t="s">
        <v>21</v>
      </c>
      <c r="H7" s="4" t="n">
        <v>20</v>
      </c>
      <c r="I7" s="4" t="n">
        <v>50</v>
      </c>
      <c r="J7" s="4" t="n">
        <v>25</v>
      </c>
      <c r="K7" s="4" t="n">
        <v>-0.8</v>
      </c>
      <c r="L7" s="6" t="n">
        <f aca="false">IF(G7="round",PI()/4*H7*I7,H7*I7)*J7*2.4/1000</f>
        <v>60</v>
      </c>
      <c r="M7" s="4" t="n">
        <v>10828</v>
      </c>
      <c r="N7" s="4" t="n">
        <v>27085</v>
      </c>
    </row>
    <row r="8" customFormat="false" ht="15" hidden="false" customHeight="false" outlineLevel="0" collapsed="false">
      <c r="A8" s="7" t="s">
        <v>26</v>
      </c>
      <c r="B8" s="7" t="s">
        <v>17</v>
      </c>
      <c r="C8" s="8" t="s">
        <v>18</v>
      </c>
      <c r="D8" s="7" t="n">
        <v>1</v>
      </c>
      <c r="E8" s="7" t="s">
        <v>27</v>
      </c>
      <c r="F8" s="7" t="s">
        <v>20</v>
      </c>
      <c r="G8" s="7" t="s">
        <v>21</v>
      </c>
      <c r="H8" s="7" t="n">
        <v>20</v>
      </c>
      <c r="I8" s="7" t="n">
        <v>60</v>
      </c>
      <c r="J8" s="7" t="n">
        <v>30</v>
      </c>
      <c r="K8" s="7" t="n">
        <v>-0.15</v>
      </c>
      <c r="L8" s="9" t="n">
        <f aca="false">IF(G8="round",PI()/4*H8*I8,H8*I8)*J8*2.4/1000</f>
        <v>86.4</v>
      </c>
      <c r="M8" s="7" t="n">
        <v>21512</v>
      </c>
      <c r="N8" s="7" t="n">
        <v>54083</v>
      </c>
    </row>
    <row r="9" customFormat="false" ht="15" hidden="false" customHeight="false" outlineLevel="0" collapsed="false">
      <c r="A9" s="4" t="s">
        <v>28</v>
      </c>
      <c r="B9" s="4" t="s">
        <v>17</v>
      </c>
      <c r="C9" s="5" t="s">
        <v>18</v>
      </c>
      <c r="D9" s="4" t="n">
        <v>1</v>
      </c>
      <c r="E9" s="4" t="s">
        <v>25</v>
      </c>
      <c r="F9" s="4" t="s">
        <v>20</v>
      </c>
      <c r="G9" s="4" t="s">
        <v>21</v>
      </c>
      <c r="H9" s="4" t="n">
        <v>20</v>
      </c>
      <c r="I9" s="4" t="n">
        <v>50</v>
      </c>
      <c r="J9" s="4" t="n">
        <v>30</v>
      </c>
      <c r="K9" s="4" t="n">
        <v>-0.15</v>
      </c>
      <c r="L9" s="6" t="n">
        <f aca="false">IF(G9="round",PI()/4*H9*I9,H9*I9)*J9*2.4/1000</f>
        <v>72</v>
      </c>
      <c r="M9" s="4" t="n">
        <v>21192</v>
      </c>
      <c r="N9" s="4" t="n">
        <v>56253</v>
      </c>
    </row>
    <row r="10" customFormat="false" ht="15" hidden="false" customHeight="false" outlineLevel="0" collapsed="false">
      <c r="A10" s="7" t="s">
        <v>29</v>
      </c>
      <c r="B10" s="7" t="s">
        <v>17</v>
      </c>
      <c r="C10" s="8" t="s">
        <v>18</v>
      </c>
      <c r="D10" s="7" t="n">
        <v>1</v>
      </c>
      <c r="E10" s="7" t="s">
        <v>30</v>
      </c>
      <c r="F10" s="7" t="s">
        <v>20</v>
      </c>
      <c r="G10" s="7" t="s">
        <v>21</v>
      </c>
      <c r="H10" s="7" t="n">
        <v>6</v>
      </c>
      <c r="I10" s="7" t="n">
        <v>50</v>
      </c>
      <c r="J10" s="7" t="n">
        <v>30</v>
      </c>
      <c r="K10" s="7" t="n">
        <v>-0.15</v>
      </c>
      <c r="L10" s="9" t="n">
        <f aca="false">IF(G10="round",PI()/4*H10*I10,H10*I10)*J10*2.4/1000</f>
        <v>21.6</v>
      </c>
      <c r="M10" s="7" t="n">
        <v>25811</v>
      </c>
      <c r="N10" s="7" t="n">
        <v>24985</v>
      </c>
    </row>
    <row r="11" customFormat="false" ht="15" hidden="false" customHeight="false" outlineLevel="0" collapsed="false">
      <c r="A11" s="4" t="s">
        <v>31</v>
      </c>
      <c r="B11" s="4" t="s">
        <v>17</v>
      </c>
      <c r="C11" s="5" t="s">
        <v>18</v>
      </c>
      <c r="D11" s="4" t="n">
        <v>1</v>
      </c>
      <c r="E11" s="4" t="s">
        <v>32</v>
      </c>
      <c r="F11" s="4" t="s">
        <v>20</v>
      </c>
      <c r="G11" s="4" t="s">
        <v>21</v>
      </c>
      <c r="H11" s="4" t="n">
        <v>25</v>
      </c>
      <c r="I11" s="4" t="n">
        <v>55</v>
      </c>
      <c r="J11" s="4" t="n">
        <v>30</v>
      </c>
      <c r="K11" s="4" t="n">
        <v>-0.15</v>
      </c>
      <c r="L11" s="6" t="n">
        <f aca="false">IF(G11="round",PI()/4*H11*I11,H11*I11)*J11*2.4/1000</f>
        <v>99</v>
      </c>
      <c r="M11" s="4" t="n">
        <v>26880</v>
      </c>
      <c r="N11" s="4" t="n">
        <v>24703</v>
      </c>
    </row>
    <row r="12" customFormat="false" ht="15" hidden="false" customHeight="false" outlineLevel="0" collapsed="false">
      <c r="A12" s="7" t="s">
        <v>33</v>
      </c>
      <c r="B12" s="7" t="s">
        <v>17</v>
      </c>
      <c r="C12" s="8" t="s">
        <v>18</v>
      </c>
      <c r="D12" s="7" t="n">
        <v>1</v>
      </c>
      <c r="E12" s="7" t="s">
        <v>34</v>
      </c>
      <c r="F12" s="7" t="s">
        <v>20</v>
      </c>
      <c r="G12" s="7" t="s">
        <v>21</v>
      </c>
      <c r="H12" s="7" t="n">
        <v>39</v>
      </c>
      <c r="I12" s="7" t="n">
        <v>34</v>
      </c>
      <c r="J12" s="7" t="n">
        <v>30</v>
      </c>
      <c r="K12" s="7" t="n">
        <v>-0.15</v>
      </c>
      <c r="L12" s="9" t="n">
        <f aca="false">IF(G12="round",PI()/4*H12*I12,H12*I12)*J12*2.4/1000</f>
        <v>95.472</v>
      </c>
      <c r="M12" s="7" t="n">
        <v>27481</v>
      </c>
      <c r="N12" s="7" t="n">
        <v>24631</v>
      </c>
    </row>
    <row r="13" customFormat="false" ht="15" hidden="false" customHeight="false" outlineLevel="0" collapsed="false">
      <c r="A13" s="4" t="s">
        <v>35</v>
      </c>
      <c r="B13" s="4" t="s">
        <v>17</v>
      </c>
      <c r="C13" s="5" t="s">
        <v>18</v>
      </c>
      <c r="D13" s="4" t="n">
        <v>1</v>
      </c>
      <c r="E13" s="4" t="s">
        <v>36</v>
      </c>
      <c r="F13" s="4" t="s">
        <v>20</v>
      </c>
      <c r="G13" s="4" t="s">
        <v>21</v>
      </c>
      <c r="H13" s="4" t="n">
        <v>94</v>
      </c>
      <c r="I13" s="4" t="n">
        <v>164</v>
      </c>
      <c r="J13" s="4" t="n">
        <v>28</v>
      </c>
      <c r="K13" s="4" t="n">
        <v>-0.155</v>
      </c>
      <c r="L13" s="6" t="n">
        <f aca="false">IF(G13="round",PI()/4*H13*I13,H13*I13)*J13*2.4/1000</f>
        <v>1035.9552</v>
      </c>
      <c r="M13" s="4" t="n">
        <v>28878</v>
      </c>
      <c r="N13" s="4" t="n">
        <v>24874</v>
      </c>
    </row>
    <row r="14" customFormat="false" ht="15" hidden="false" customHeight="false" outlineLevel="0" collapsed="false">
      <c r="A14" s="7" t="s">
        <v>37</v>
      </c>
      <c r="B14" s="7" t="s">
        <v>17</v>
      </c>
      <c r="C14" s="8" t="s">
        <v>18</v>
      </c>
      <c r="D14" s="7" t="n">
        <v>1</v>
      </c>
      <c r="E14" s="7" t="s">
        <v>38</v>
      </c>
      <c r="F14" s="7" t="s">
        <v>20</v>
      </c>
      <c r="G14" s="7" t="s">
        <v>21</v>
      </c>
      <c r="H14" s="7" t="n">
        <v>39</v>
      </c>
      <c r="I14" s="7" t="n">
        <v>44</v>
      </c>
      <c r="J14" s="7" t="n">
        <v>28</v>
      </c>
      <c r="K14" s="7" t="n">
        <v>-0.155</v>
      </c>
      <c r="L14" s="9" t="n">
        <f aca="false">IF(G14="round",PI()/4*H14*I14,H14*I14)*J14*2.4/1000</f>
        <v>115.3152</v>
      </c>
      <c r="M14" s="7" t="n">
        <v>30719</v>
      </c>
      <c r="N14" s="7" t="n">
        <v>24747</v>
      </c>
    </row>
    <row r="15" customFormat="false" ht="15" hidden="false" customHeight="false" outlineLevel="0" collapsed="false">
      <c r="A15" s="4" t="s">
        <v>39</v>
      </c>
      <c r="B15" s="4" t="s">
        <v>17</v>
      </c>
      <c r="C15" s="5" t="s">
        <v>18</v>
      </c>
      <c r="D15" s="4" t="n">
        <v>1</v>
      </c>
      <c r="E15" s="4" t="s">
        <v>40</v>
      </c>
      <c r="F15" s="4" t="s">
        <v>20</v>
      </c>
      <c r="G15" s="4" t="s">
        <v>21</v>
      </c>
      <c r="H15" s="4" t="n">
        <v>10</v>
      </c>
      <c r="I15" s="4" t="n">
        <v>25</v>
      </c>
      <c r="J15" s="4" t="n">
        <v>28</v>
      </c>
      <c r="K15" s="4" t="n">
        <v>-0.155</v>
      </c>
      <c r="L15" s="6" t="n">
        <f aca="false">IF(G15="round",PI()/4*H15*I15,H15*I15)*J15*2.4/1000</f>
        <v>16.8</v>
      </c>
      <c r="M15" s="4" t="n">
        <v>31693</v>
      </c>
      <c r="N15" s="4" t="n">
        <v>24827</v>
      </c>
    </row>
    <row r="16" customFormat="false" ht="15" hidden="false" customHeight="false" outlineLevel="0" collapsed="false">
      <c r="A16" s="7" t="s">
        <v>41</v>
      </c>
      <c r="B16" s="7" t="s">
        <v>17</v>
      </c>
      <c r="C16" s="8" t="s">
        <v>18</v>
      </c>
      <c r="D16" s="7" t="n">
        <v>1</v>
      </c>
      <c r="E16" s="7" t="s">
        <v>42</v>
      </c>
      <c r="F16" s="7" t="s">
        <v>20</v>
      </c>
      <c r="G16" s="7" t="s">
        <v>21</v>
      </c>
      <c r="H16" s="7" t="n">
        <v>114</v>
      </c>
      <c r="I16" s="7" t="n">
        <v>74</v>
      </c>
      <c r="J16" s="7" t="n">
        <v>30</v>
      </c>
      <c r="K16" s="7" t="n">
        <v>-0.15</v>
      </c>
      <c r="L16" s="9" t="n">
        <f aca="false">IF(G16="round",PI()/4*H16*I16,H16*I16)*J16*2.4/1000</f>
        <v>607.392</v>
      </c>
      <c r="M16" s="7" t="n">
        <v>29108</v>
      </c>
      <c r="N16" s="7" t="n">
        <v>63455</v>
      </c>
    </row>
    <row r="17" customFormat="false" ht="15" hidden="false" customHeight="false" outlineLevel="0" collapsed="false">
      <c r="A17" s="4" t="s">
        <v>43</v>
      </c>
      <c r="B17" s="4" t="s">
        <v>17</v>
      </c>
      <c r="C17" s="5" t="s">
        <v>18</v>
      </c>
      <c r="D17" s="4" t="n">
        <v>1</v>
      </c>
      <c r="E17" s="4" t="s">
        <v>44</v>
      </c>
      <c r="F17" s="4" t="s">
        <v>20</v>
      </c>
      <c r="G17" s="4" t="s">
        <v>21</v>
      </c>
      <c r="H17" s="4" t="n">
        <v>90</v>
      </c>
      <c r="I17" s="4" t="n">
        <v>139</v>
      </c>
      <c r="J17" s="4" t="n">
        <v>30</v>
      </c>
      <c r="K17" s="4" t="n">
        <v>-0.15</v>
      </c>
      <c r="L17" s="6" t="n">
        <f aca="false">IF(G17="round",PI()/4*H17*I17,H17*I17)*J17*2.4/1000</f>
        <v>900.72</v>
      </c>
      <c r="M17" s="4" t="n">
        <v>27716</v>
      </c>
      <c r="N17" s="4" t="n">
        <v>63455</v>
      </c>
    </row>
    <row r="18" customFormat="false" ht="15" hidden="false" customHeight="false" outlineLevel="0" collapsed="false">
      <c r="A18" s="7" t="s">
        <v>45</v>
      </c>
      <c r="B18" s="7" t="s">
        <v>17</v>
      </c>
      <c r="C18" s="8" t="s">
        <v>18</v>
      </c>
      <c r="D18" s="7" t="n">
        <v>1</v>
      </c>
      <c r="E18" s="7" t="s">
        <v>46</v>
      </c>
      <c r="F18" s="7" t="s">
        <v>20</v>
      </c>
      <c r="G18" s="7" t="s">
        <v>21</v>
      </c>
      <c r="H18" s="7" t="n">
        <v>15</v>
      </c>
      <c r="I18" s="7" t="n">
        <v>120</v>
      </c>
      <c r="J18" s="7" t="n">
        <v>30</v>
      </c>
      <c r="K18" s="7" t="n">
        <v>-0.15</v>
      </c>
      <c r="L18" s="9" t="n">
        <f aca="false">IF(G18="round",PI()/4*H18*I18,H18*I18)*J18*2.4/1000</f>
        <v>129.6</v>
      </c>
      <c r="M18" s="7" t="n">
        <v>26543</v>
      </c>
      <c r="N18" s="7" t="n">
        <v>64373</v>
      </c>
    </row>
    <row r="19" customFormat="false" ht="15" hidden="false" customHeight="false" outlineLevel="0" collapsed="false">
      <c r="A19" s="4" t="s">
        <v>47</v>
      </c>
      <c r="B19" s="4" t="s">
        <v>17</v>
      </c>
      <c r="C19" s="5" t="s">
        <v>18</v>
      </c>
      <c r="D19" s="4" t="n">
        <v>1</v>
      </c>
      <c r="E19" s="4" t="s">
        <v>48</v>
      </c>
      <c r="F19" s="4" t="s">
        <v>20</v>
      </c>
      <c r="G19" s="4" t="s">
        <v>21</v>
      </c>
      <c r="H19" s="4" t="n">
        <v>20</v>
      </c>
      <c r="I19" s="4" t="n">
        <v>135</v>
      </c>
      <c r="J19" s="4" t="n">
        <v>30</v>
      </c>
      <c r="K19" s="4" t="n">
        <v>-0.15</v>
      </c>
      <c r="L19" s="6" t="n">
        <f aca="false">IF(G19="round",PI()/4*H19*I19,H19*I19)*J19*2.4/1000</f>
        <v>194.4</v>
      </c>
      <c r="M19" s="4" t="n">
        <v>31111</v>
      </c>
      <c r="N19" s="4" t="n">
        <v>62995</v>
      </c>
    </row>
    <row r="20" customFormat="false" ht="15" hidden="false" customHeight="false" outlineLevel="0" collapsed="false">
      <c r="A20" s="7" t="s">
        <v>49</v>
      </c>
      <c r="B20" s="7" t="s">
        <v>17</v>
      </c>
      <c r="C20" s="8" t="s">
        <v>18</v>
      </c>
      <c r="D20" s="7" t="n">
        <v>1</v>
      </c>
      <c r="E20" s="7" t="s">
        <v>50</v>
      </c>
      <c r="F20" s="7" t="s">
        <v>20</v>
      </c>
      <c r="G20" s="7" t="s">
        <v>21</v>
      </c>
      <c r="H20" s="7" t="n">
        <v>100</v>
      </c>
      <c r="I20" s="7" t="n">
        <v>6</v>
      </c>
      <c r="J20" s="7" t="n">
        <v>30</v>
      </c>
      <c r="K20" s="7" t="n">
        <v>-0.15</v>
      </c>
      <c r="L20" s="9" t="n">
        <f aca="false">IF(G20="round",PI()/4*H20*I20,H20*I20)*J20*2.4/1000</f>
        <v>43.2</v>
      </c>
      <c r="M20" s="7" t="n">
        <v>30816</v>
      </c>
      <c r="N20" s="7" t="n">
        <v>65372</v>
      </c>
    </row>
    <row r="21" customFormat="false" ht="15" hidden="false" customHeight="false" outlineLevel="0" collapsed="false">
      <c r="A21" s="4" t="s">
        <v>51</v>
      </c>
      <c r="B21" s="4" t="s">
        <v>17</v>
      </c>
      <c r="C21" s="5" t="s">
        <v>52</v>
      </c>
      <c r="D21" s="4" t="n">
        <v>1</v>
      </c>
      <c r="E21" s="4" t="s">
        <v>53</v>
      </c>
      <c r="F21" s="4" t="s">
        <v>20</v>
      </c>
      <c r="G21" s="4" t="s">
        <v>21</v>
      </c>
      <c r="H21" s="4" t="n">
        <v>25</v>
      </c>
      <c r="I21" s="4" t="n">
        <v>40</v>
      </c>
      <c r="J21" s="4" t="n">
        <v>30</v>
      </c>
      <c r="K21" s="4" t="n">
        <v>-0.15</v>
      </c>
      <c r="L21" s="6" t="n">
        <f aca="false">IF(G21="round",PI()/4*H21*I21,H21*I21)*J21*2.4/1000</f>
        <v>72</v>
      </c>
      <c r="M21" s="4" t="n">
        <v>23081</v>
      </c>
      <c r="N21" s="4" t="n">
        <v>59145</v>
      </c>
    </row>
    <row r="22" customFormat="false" ht="15" hidden="false" customHeight="false" outlineLevel="0" collapsed="false">
      <c r="A22" s="7" t="s">
        <v>54</v>
      </c>
      <c r="B22" s="7" t="s">
        <v>17</v>
      </c>
      <c r="C22" s="8" t="s">
        <v>52</v>
      </c>
      <c r="D22" s="7" t="n">
        <v>1</v>
      </c>
      <c r="E22" s="7" t="s">
        <v>53</v>
      </c>
      <c r="F22" s="7" t="s">
        <v>20</v>
      </c>
      <c r="G22" s="7" t="s">
        <v>21</v>
      </c>
      <c r="H22" s="7" t="n">
        <v>25</v>
      </c>
      <c r="I22" s="7" t="n">
        <v>40</v>
      </c>
      <c r="J22" s="7" t="n">
        <v>30</v>
      </c>
      <c r="K22" s="7" t="n">
        <v>-0.15</v>
      </c>
      <c r="L22" s="9" t="n">
        <f aca="false">IF(G22="round",PI()/4*H22*I22,H22*I22)*J22*2.4/1000</f>
        <v>72</v>
      </c>
      <c r="M22" s="7" t="n">
        <v>22516</v>
      </c>
      <c r="N22" s="7" t="n">
        <v>60781</v>
      </c>
    </row>
    <row r="23" customFormat="false" ht="15" hidden="false" customHeight="false" outlineLevel="0" collapsed="false">
      <c r="A23" s="4" t="s">
        <v>55</v>
      </c>
      <c r="B23" s="4" t="s">
        <v>17</v>
      </c>
      <c r="C23" s="5" t="s">
        <v>52</v>
      </c>
      <c r="D23" s="4" t="n">
        <v>1</v>
      </c>
      <c r="E23" s="4" t="s">
        <v>53</v>
      </c>
      <c r="F23" s="4" t="s">
        <v>20</v>
      </c>
      <c r="G23" s="4" t="s">
        <v>21</v>
      </c>
      <c r="H23" s="4" t="n">
        <v>25</v>
      </c>
      <c r="I23" s="4" t="n">
        <v>40</v>
      </c>
      <c r="J23" s="4" t="n">
        <v>30</v>
      </c>
      <c r="K23" s="4" t="n">
        <v>-0.15</v>
      </c>
      <c r="L23" s="6" t="n">
        <f aca="false">IF(G23="round",PI()/4*H23*I23,H23*I23)*J23*2.4/1000</f>
        <v>72</v>
      </c>
      <c r="M23" s="4" t="n">
        <v>22346</v>
      </c>
      <c r="N23" s="4" t="n">
        <v>37112</v>
      </c>
    </row>
    <row r="24" customFormat="false" ht="15" hidden="false" customHeight="false" outlineLevel="0" collapsed="false">
      <c r="A24" s="7" t="s">
        <v>56</v>
      </c>
      <c r="B24" s="7" t="s">
        <v>17</v>
      </c>
      <c r="C24" s="8" t="s">
        <v>52</v>
      </c>
      <c r="D24" s="7" t="n">
        <v>1</v>
      </c>
      <c r="E24" s="7" t="s">
        <v>53</v>
      </c>
      <c r="F24" s="7" t="s">
        <v>20</v>
      </c>
      <c r="G24" s="7" t="s">
        <v>21</v>
      </c>
      <c r="H24" s="7" t="n">
        <v>25</v>
      </c>
      <c r="I24" s="7" t="n">
        <v>40</v>
      </c>
      <c r="J24" s="7" t="n">
        <v>30</v>
      </c>
      <c r="K24" s="7" t="n">
        <v>-0.15</v>
      </c>
      <c r="L24" s="9" t="n">
        <f aca="false">IF(G24="round",PI()/4*H24*I24,H24*I24)*J24*2.4/1000</f>
        <v>72</v>
      </c>
      <c r="M24" s="7" t="n">
        <v>22346</v>
      </c>
      <c r="N24" s="7" t="n">
        <v>35148</v>
      </c>
    </row>
    <row r="25" customFormat="false" ht="15" hidden="false" customHeight="false" outlineLevel="0" collapsed="false">
      <c r="A25" s="4" t="s">
        <v>57</v>
      </c>
      <c r="B25" s="4" t="s">
        <v>17</v>
      </c>
      <c r="C25" s="5" t="s">
        <v>52</v>
      </c>
      <c r="D25" s="4" t="n">
        <v>1</v>
      </c>
      <c r="E25" s="4" t="s">
        <v>58</v>
      </c>
      <c r="F25" s="4" t="s">
        <v>20</v>
      </c>
      <c r="G25" s="4" t="s">
        <v>21</v>
      </c>
      <c r="H25" s="4" t="n">
        <v>434</v>
      </c>
      <c r="I25" s="4" t="n">
        <v>184</v>
      </c>
      <c r="J25" s="4" t="n">
        <v>30</v>
      </c>
      <c r="K25" s="4" t="n">
        <v>-0.15</v>
      </c>
      <c r="L25" s="6" t="n">
        <f aca="false">IF(G25="round",PI()/4*H25*I25,H25*I25)*J25*2.4/1000</f>
        <v>5749.632</v>
      </c>
      <c r="M25" s="4" t="n">
        <v>31486</v>
      </c>
      <c r="N25" s="4" t="n">
        <v>30429</v>
      </c>
    </row>
    <row r="26" customFormat="false" ht="15" hidden="false" customHeight="false" outlineLevel="0" collapsed="false">
      <c r="A26" s="7" t="s">
        <v>59</v>
      </c>
      <c r="B26" s="7" t="s">
        <v>17</v>
      </c>
      <c r="C26" s="8" t="s">
        <v>52</v>
      </c>
      <c r="D26" s="7" t="n">
        <v>1</v>
      </c>
      <c r="E26" s="7" t="s">
        <v>60</v>
      </c>
      <c r="F26" s="7" t="s">
        <v>20</v>
      </c>
      <c r="G26" s="7" t="s">
        <v>21</v>
      </c>
      <c r="H26" s="7" t="n">
        <v>250</v>
      </c>
      <c r="I26" s="7" t="n">
        <v>20</v>
      </c>
      <c r="J26" s="7" t="n">
        <v>28</v>
      </c>
      <c r="K26" s="7" t="n">
        <v>-0.155</v>
      </c>
      <c r="L26" s="9" t="n">
        <f aca="false">IF(G26="round",PI()/4*H26*I26,H26*I26)*J26*2.4/1000</f>
        <v>336</v>
      </c>
      <c r="M26" s="7" t="n">
        <v>29373</v>
      </c>
      <c r="N26" s="7" t="n">
        <v>65644</v>
      </c>
    </row>
    <row r="27" customFormat="false" ht="15" hidden="false" customHeight="false" outlineLevel="0" collapsed="false">
      <c r="A27" s="4" t="s">
        <v>61</v>
      </c>
      <c r="B27" s="4" t="s">
        <v>17</v>
      </c>
      <c r="C27" s="5" t="s">
        <v>52</v>
      </c>
      <c r="D27" s="4" t="n">
        <v>1</v>
      </c>
      <c r="E27" s="4" t="s">
        <v>62</v>
      </c>
      <c r="F27" s="4" t="s">
        <v>20</v>
      </c>
      <c r="G27" s="4" t="s">
        <v>21</v>
      </c>
      <c r="H27" s="4" t="n">
        <v>55</v>
      </c>
      <c r="I27" s="4" t="n">
        <v>25</v>
      </c>
      <c r="J27" s="4" t="n">
        <v>28</v>
      </c>
      <c r="K27" s="4" t="n">
        <v>-0.155</v>
      </c>
      <c r="L27" s="6" t="n">
        <f aca="false">IF(G27="round",PI()/4*H27*I27,H27*I27)*J27*2.4/1000</f>
        <v>92.4</v>
      </c>
      <c r="M27" s="4" t="n">
        <v>29123</v>
      </c>
      <c r="N27" s="4" t="n">
        <v>68043</v>
      </c>
    </row>
    <row r="28" customFormat="false" ht="15" hidden="false" customHeight="false" outlineLevel="0" collapsed="false">
      <c r="A28" s="7" t="s">
        <v>63</v>
      </c>
      <c r="B28" s="7" t="s">
        <v>17</v>
      </c>
      <c r="C28" s="8" t="s">
        <v>52</v>
      </c>
      <c r="D28" s="7" t="n">
        <v>1</v>
      </c>
      <c r="E28" s="7" t="s">
        <v>64</v>
      </c>
      <c r="F28" s="7" t="s">
        <v>20</v>
      </c>
      <c r="G28" s="7" t="s">
        <v>21</v>
      </c>
      <c r="H28" s="7" t="n">
        <v>55</v>
      </c>
      <c r="I28" s="7" t="n">
        <v>100</v>
      </c>
      <c r="J28" s="7" t="n">
        <v>30</v>
      </c>
      <c r="K28" s="7" t="n">
        <v>-0.15</v>
      </c>
      <c r="L28" s="9" t="n">
        <f aca="false">IF(G28="round",PI()/4*H28*I28,H28*I28)*J28*2.4/1000</f>
        <v>396</v>
      </c>
      <c r="M28" s="7" t="n">
        <v>6910</v>
      </c>
      <c r="N28" s="7" t="n">
        <v>67874</v>
      </c>
    </row>
    <row r="29" customFormat="false" ht="15" hidden="false" customHeight="false" outlineLevel="0" collapsed="false">
      <c r="A29" s="4" t="s">
        <v>65</v>
      </c>
      <c r="B29" s="4" t="s">
        <v>17</v>
      </c>
      <c r="C29" s="5" t="s">
        <v>52</v>
      </c>
      <c r="D29" s="4" t="n">
        <v>1</v>
      </c>
      <c r="E29" s="4" t="s">
        <v>66</v>
      </c>
      <c r="F29" s="4" t="s">
        <v>20</v>
      </c>
      <c r="G29" s="4" t="s">
        <v>21</v>
      </c>
      <c r="H29" s="4" t="n">
        <v>85</v>
      </c>
      <c r="I29" s="4" t="n">
        <v>100</v>
      </c>
      <c r="J29" s="4" t="n">
        <v>30</v>
      </c>
      <c r="K29" s="4" t="n">
        <v>-0.15</v>
      </c>
      <c r="L29" s="6" t="n">
        <f aca="false">IF(G29="round",PI()/4*H29*I29,H29*I29)*J29*2.4/1000</f>
        <v>612</v>
      </c>
      <c r="M29" s="4" t="n">
        <v>8984</v>
      </c>
      <c r="N29" s="4" t="n">
        <v>67874</v>
      </c>
    </row>
    <row r="30" customFormat="false" ht="15" hidden="false" customHeight="false" outlineLevel="0" collapsed="false">
      <c r="A30" s="7" t="s">
        <v>67</v>
      </c>
      <c r="B30" s="7" t="s">
        <v>17</v>
      </c>
      <c r="C30" s="8" t="s">
        <v>52</v>
      </c>
      <c r="D30" s="7" t="n">
        <v>1</v>
      </c>
      <c r="E30" s="7" t="s">
        <v>68</v>
      </c>
      <c r="F30" s="7" t="s">
        <v>20</v>
      </c>
      <c r="G30" s="7" t="s">
        <v>21</v>
      </c>
      <c r="H30" s="7" t="n">
        <v>130</v>
      </c>
      <c r="I30" s="7" t="n">
        <v>140</v>
      </c>
      <c r="J30" s="7" t="n">
        <v>30</v>
      </c>
      <c r="K30" s="7" t="n">
        <v>-0.15</v>
      </c>
      <c r="L30" s="9" t="n">
        <f aca="false">IF(G30="round",PI()/4*H30*I30,H30*I30)*J30*2.4/1000</f>
        <v>1310.4</v>
      </c>
      <c r="M30" s="7" t="n">
        <v>10088</v>
      </c>
      <c r="N30" s="7" t="n">
        <v>67518</v>
      </c>
    </row>
    <row r="31" customFormat="false" ht="15" hidden="false" customHeight="false" outlineLevel="0" collapsed="false">
      <c r="A31" s="4" t="s">
        <v>69</v>
      </c>
      <c r="B31" s="4" t="s">
        <v>17</v>
      </c>
      <c r="C31" s="5" t="s">
        <v>52</v>
      </c>
      <c r="D31" s="4" t="n">
        <v>1</v>
      </c>
      <c r="E31" s="4" t="s">
        <v>70</v>
      </c>
      <c r="F31" s="4" t="s">
        <v>20</v>
      </c>
      <c r="G31" s="4" t="s">
        <v>21</v>
      </c>
      <c r="H31" s="4" t="n">
        <v>100</v>
      </c>
      <c r="I31" s="4" t="n">
        <v>270</v>
      </c>
      <c r="J31" s="4" t="n">
        <v>30</v>
      </c>
      <c r="K31" s="4" t="n">
        <v>-0.15</v>
      </c>
      <c r="L31" s="6" t="n">
        <f aca="false">IF(G31="round",PI()/4*H31*I31,H31*I31)*J31*2.4/1000</f>
        <v>1944</v>
      </c>
      <c r="M31" s="4" t="n">
        <v>12905</v>
      </c>
      <c r="N31" s="4" t="n">
        <v>67656</v>
      </c>
    </row>
    <row r="32" customFormat="false" ht="15" hidden="false" customHeight="false" outlineLevel="0" collapsed="false">
      <c r="A32" s="7" t="s">
        <v>71</v>
      </c>
      <c r="B32" s="7" t="s">
        <v>17</v>
      </c>
      <c r="C32" s="8" t="s">
        <v>52</v>
      </c>
      <c r="D32" s="7" t="n">
        <v>1</v>
      </c>
      <c r="E32" s="7" t="s">
        <v>62</v>
      </c>
      <c r="F32" s="7" t="s">
        <v>20</v>
      </c>
      <c r="G32" s="7" t="s">
        <v>21</v>
      </c>
      <c r="H32" s="7" t="n">
        <v>55</v>
      </c>
      <c r="I32" s="7" t="n">
        <v>25</v>
      </c>
      <c r="J32" s="7" t="n">
        <v>30</v>
      </c>
      <c r="K32" s="7" t="n">
        <v>-0.15</v>
      </c>
      <c r="L32" s="9" t="n">
        <f aca="false">IF(G32="round",PI()/4*H32*I32,H32*I32)*J32*2.4/1000</f>
        <v>99</v>
      </c>
      <c r="M32" s="7" t="n">
        <v>12421</v>
      </c>
      <c r="N32" s="7" t="n">
        <v>68869</v>
      </c>
    </row>
    <row r="33" customFormat="false" ht="15" hidden="false" customHeight="false" outlineLevel="0" collapsed="false">
      <c r="A33" s="4" t="s">
        <v>72</v>
      </c>
      <c r="B33" s="4" t="s">
        <v>17</v>
      </c>
      <c r="C33" s="5" t="s">
        <v>52</v>
      </c>
      <c r="D33" s="4" t="n">
        <v>1</v>
      </c>
      <c r="E33" s="4" t="s">
        <v>73</v>
      </c>
      <c r="F33" s="4" t="s">
        <v>20</v>
      </c>
      <c r="G33" s="4" t="s">
        <v>21</v>
      </c>
      <c r="H33" s="4" t="n">
        <v>84</v>
      </c>
      <c r="I33" s="4" t="n">
        <v>94</v>
      </c>
      <c r="J33" s="4" t="n">
        <v>25</v>
      </c>
      <c r="K33" s="4" t="n">
        <v>-0.55</v>
      </c>
      <c r="L33" s="6" t="n">
        <f aca="false">IF(G33="round",PI()/4*H33*I33,H33*I33)*J33*2.4/1000</f>
        <v>473.76</v>
      </c>
      <c r="M33" s="4" t="n">
        <v>6698</v>
      </c>
      <c r="N33" s="4" t="n">
        <v>29233</v>
      </c>
    </row>
    <row r="34" customFormat="false" ht="15" hidden="false" customHeight="false" outlineLevel="0" collapsed="false">
      <c r="A34" s="7" t="s">
        <v>74</v>
      </c>
      <c r="B34" s="7" t="s">
        <v>17</v>
      </c>
      <c r="C34" s="8" t="s">
        <v>52</v>
      </c>
      <c r="D34" s="7" t="n">
        <v>1</v>
      </c>
      <c r="E34" s="7" t="s">
        <v>75</v>
      </c>
      <c r="F34" s="7" t="s">
        <v>20</v>
      </c>
      <c r="G34" s="7" t="s">
        <v>21</v>
      </c>
      <c r="H34" s="7" t="n">
        <v>64</v>
      </c>
      <c r="I34" s="7" t="n">
        <v>114</v>
      </c>
      <c r="J34" s="7" t="n">
        <v>25</v>
      </c>
      <c r="K34" s="7" t="n">
        <v>-0.55</v>
      </c>
      <c r="L34" s="9" t="n">
        <f aca="false">IF(G34="round",PI()/4*H34*I34,H34*I34)*J34*2.4/1000</f>
        <v>437.76</v>
      </c>
      <c r="M34" s="7" t="n">
        <v>7659</v>
      </c>
      <c r="N34" s="7" t="n">
        <v>29017</v>
      </c>
    </row>
    <row r="35" customFormat="false" ht="15" hidden="false" customHeight="false" outlineLevel="0" collapsed="false">
      <c r="A35" s="4" t="s">
        <v>76</v>
      </c>
      <c r="B35" s="4" t="s">
        <v>17</v>
      </c>
      <c r="C35" s="5" t="s">
        <v>52</v>
      </c>
      <c r="D35" s="4" t="n">
        <v>1</v>
      </c>
      <c r="E35" s="4" t="s">
        <v>77</v>
      </c>
      <c r="F35" s="4" t="s">
        <v>20</v>
      </c>
      <c r="G35" s="4" t="s">
        <v>21</v>
      </c>
      <c r="H35" s="4" t="n">
        <v>160</v>
      </c>
      <c r="I35" s="4" t="n">
        <v>30</v>
      </c>
      <c r="J35" s="4" t="n">
        <v>28</v>
      </c>
      <c r="K35" s="4" t="n">
        <v>-0.155</v>
      </c>
      <c r="L35" s="6" t="n">
        <f aca="false">IF(G35="round",PI()/4*H35*I35,H35*I35)*J35*2.4/1000</f>
        <v>322.56</v>
      </c>
      <c r="M35" s="4" t="n">
        <v>5938</v>
      </c>
      <c r="N35" s="4" t="n">
        <v>31904</v>
      </c>
    </row>
    <row r="36" customFormat="false" ht="15" hidden="false" customHeight="false" outlineLevel="0" collapsed="false">
      <c r="A36" s="7" t="s">
        <v>78</v>
      </c>
      <c r="B36" s="7" t="s">
        <v>17</v>
      </c>
      <c r="C36" s="8" t="s">
        <v>52</v>
      </c>
      <c r="D36" s="7" t="n">
        <v>1</v>
      </c>
      <c r="E36" s="7" t="s">
        <v>79</v>
      </c>
      <c r="F36" s="7" t="s">
        <v>20</v>
      </c>
      <c r="G36" s="7" t="s">
        <v>80</v>
      </c>
      <c r="H36" s="7" t="n">
        <v>54</v>
      </c>
      <c r="I36" s="7" t="n">
        <v>54</v>
      </c>
      <c r="J36" s="7" t="n">
        <v>28</v>
      </c>
      <c r="K36" s="7" t="n">
        <v>-0.155</v>
      </c>
      <c r="L36" s="9" t="n">
        <f aca="false">IF(G36="round",PI()/4*H36*I36,H36*I36)*J36*2.4/1000</f>
        <v>153.90285418818</v>
      </c>
      <c r="M36" s="7" t="n">
        <v>6566</v>
      </c>
      <c r="N36" s="7" t="n">
        <v>32753</v>
      </c>
    </row>
    <row r="37" customFormat="false" ht="15" hidden="false" customHeight="false" outlineLevel="0" collapsed="false">
      <c r="A37" s="4" t="s">
        <v>81</v>
      </c>
      <c r="B37" s="4" t="s">
        <v>17</v>
      </c>
      <c r="C37" s="5" t="s">
        <v>52</v>
      </c>
      <c r="D37" s="4" t="n">
        <v>1</v>
      </c>
      <c r="E37" s="4" t="s">
        <v>82</v>
      </c>
      <c r="F37" s="4" t="s">
        <v>20</v>
      </c>
      <c r="G37" s="4" t="s">
        <v>21</v>
      </c>
      <c r="H37" s="4" t="n">
        <v>154</v>
      </c>
      <c r="I37" s="4" t="n">
        <v>94</v>
      </c>
      <c r="J37" s="4" t="n">
        <v>28</v>
      </c>
      <c r="K37" s="4" t="n">
        <v>-0.155</v>
      </c>
      <c r="L37" s="6" t="n">
        <f aca="false">IF(G37="round",PI()/4*H37*I37,H37*I37)*J37*2.4/1000</f>
        <v>972.7872</v>
      </c>
      <c r="M37" s="4" t="n">
        <v>7612</v>
      </c>
      <c r="N37" s="4" t="n">
        <v>32224</v>
      </c>
    </row>
    <row r="38" customFormat="false" ht="15" hidden="false" customHeight="false" outlineLevel="0" collapsed="false">
      <c r="A38" s="7" t="s">
        <v>83</v>
      </c>
      <c r="B38" s="7" t="s">
        <v>17</v>
      </c>
      <c r="C38" s="8" t="s">
        <v>52</v>
      </c>
      <c r="D38" s="7" t="n">
        <v>1</v>
      </c>
      <c r="E38" s="7" t="s">
        <v>84</v>
      </c>
      <c r="F38" s="7" t="s">
        <v>20</v>
      </c>
      <c r="G38" s="7" t="s">
        <v>21</v>
      </c>
      <c r="H38" s="7" t="n">
        <v>35</v>
      </c>
      <c r="I38" s="7" t="n">
        <v>10</v>
      </c>
      <c r="J38" s="7" t="n">
        <v>28</v>
      </c>
      <c r="K38" s="7" t="n">
        <v>-0.155</v>
      </c>
      <c r="L38" s="9" t="n">
        <f aca="false">IF(G38="round",PI()/4*H38*I38,H38*I38)*J38*2.4/1000</f>
        <v>23.52</v>
      </c>
      <c r="M38" s="7" t="n">
        <v>6458</v>
      </c>
      <c r="N38" s="7" t="n">
        <v>34430</v>
      </c>
    </row>
    <row r="39" customFormat="false" ht="15" hidden="false" customHeight="false" outlineLevel="0" collapsed="false">
      <c r="A39" s="4" t="s">
        <v>85</v>
      </c>
      <c r="B39" s="4" t="s">
        <v>17</v>
      </c>
      <c r="C39" s="5" t="s">
        <v>86</v>
      </c>
      <c r="D39" s="4" t="n">
        <v>1</v>
      </c>
      <c r="E39" s="4" t="s">
        <v>19</v>
      </c>
      <c r="F39" s="4" t="s">
        <v>20</v>
      </c>
      <c r="G39" s="4" t="s">
        <v>21</v>
      </c>
      <c r="H39" s="4" t="n">
        <v>60</v>
      </c>
      <c r="I39" s="4" t="n">
        <v>45</v>
      </c>
      <c r="J39" s="4" t="n">
        <v>30</v>
      </c>
      <c r="K39" s="4" t="n">
        <v>-0.15</v>
      </c>
      <c r="L39" s="6" t="n">
        <f aca="false">IF(G39="round",PI()/4*H39*I39,H39*I39)*J39*2.4/1000</f>
        <v>194.4</v>
      </c>
      <c r="M39" s="4" t="n">
        <v>10348</v>
      </c>
      <c r="N39" s="4" t="n">
        <v>28369</v>
      </c>
    </row>
    <row r="40" customFormat="false" ht="15" hidden="false" customHeight="false" outlineLevel="0" collapsed="false">
      <c r="A40" s="7" t="s">
        <v>87</v>
      </c>
      <c r="B40" s="7" t="s">
        <v>17</v>
      </c>
      <c r="C40" s="8" t="s">
        <v>86</v>
      </c>
      <c r="D40" s="7" t="n">
        <v>1</v>
      </c>
      <c r="E40" s="7" t="s">
        <v>88</v>
      </c>
      <c r="F40" s="7" t="s">
        <v>20</v>
      </c>
      <c r="G40" s="7" t="s">
        <v>21</v>
      </c>
      <c r="H40" s="7" t="n">
        <v>50</v>
      </c>
      <c r="I40" s="7" t="n">
        <v>20</v>
      </c>
      <c r="J40" s="7" t="n">
        <v>30</v>
      </c>
      <c r="K40" s="7" t="n">
        <v>-0.85</v>
      </c>
      <c r="L40" s="9" t="n">
        <f aca="false">IF(G40="round",PI()/4*H40*I40,H40*I40)*J40*2.4/1000</f>
        <v>72</v>
      </c>
      <c r="M40" s="7" t="n">
        <v>17207</v>
      </c>
      <c r="N40" s="7" t="n">
        <v>51117</v>
      </c>
    </row>
    <row r="41" customFormat="false" ht="15" hidden="false" customHeight="false" outlineLevel="0" collapsed="false">
      <c r="A41" s="4" t="s">
        <v>89</v>
      </c>
      <c r="B41" s="4" t="s">
        <v>17</v>
      </c>
      <c r="C41" s="5" t="s">
        <v>86</v>
      </c>
      <c r="D41" s="4" t="n">
        <v>1</v>
      </c>
      <c r="E41" s="4" t="s">
        <v>25</v>
      </c>
      <c r="F41" s="4" t="s">
        <v>20</v>
      </c>
      <c r="G41" s="4" t="s">
        <v>21</v>
      </c>
      <c r="H41" s="4" t="n">
        <v>20</v>
      </c>
      <c r="I41" s="4" t="n">
        <v>50</v>
      </c>
      <c r="J41" s="4" t="n">
        <v>30</v>
      </c>
      <c r="K41" s="4" t="n">
        <v>-0.85</v>
      </c>
      <c r="L41" s="6" t="n">
        <f aca="false">IF(G41="round",PI()/4*H41*I41,H41*I41)*J41*2.4/1000</f>
        <v>72</v>
      </c>
      <c r="M41" s="4" t="n">
        <v>16911</v>
      </c>
      <c r="N41" s="4" t="n">
        <v>51117</v>
      </c>
    </row>
    <row r="42" customFormat="false" ht="15" hidden="false" customHeight="false" outlineLevel="0" collapsed="false">
      <c r="A42" s="7" t="s">
        <v>90</v>
      </c>
      <c r="B42" s="7" t="s">
        <v>17</v>
      </c>
      <c r="C42" s="8" t="s">
        <v>86</v>
      </c>
      <c r="D42" s="7" t="n">
        <v>1</v>
      </c>
      <c r="E42" s="7" t="s">
        <v>25</v>
      </c>
      <c r="F42" s="7" t="s">
        <v>20</v>
      </c>
      <c r="G42" s="7" t="s">
        <v>21</v>
      </c>
      <c r="H42" s="7" t="n">
        <v>20</v>
      </c>
      <c r="I42" s="7" t="n">
        <v>50</v>
      </c>
      <c r="J42" s="7" t="n">
        <v>30</v>
      </c>
      <c r="K42" s="7" t="n">
        <v>-0.85</v>
      </c>
      <c r="L42" s="9" t="n">
        <f aca="false">IF(G42="round",PI()/4*H42*I42,H42*I42)*J42*2.4/1000</f>
        <v>72</v>
      </c>
      <c r="M42" s="7" t="n">
        <v>13937</v>
      </c>
      <c r="N42" s="7" t="n">
        <v>51276</v>
      </c>
    </row>
    <row r="43" customFormat="false" ht="15" hidden="false" customHeight="false" outlineLevel="0" collapsed="false">
      <c r="A43" s="4" t="s">
        <v>91</v>
      </c>
      <c r="B43" s="4" t="s">
        <v>17</v>
      </c>
      <c r="C43" s="5" t="s">
        <v>86</v>
      </c>
      <c r="D43" s="4" t="n">
        <v>1</v>
      </c>
      <c r="E43" s="4" t="s">
        <v>25</v>
      </c>
      <c r="F43" s="4" t="s">
        <v>20</v>
      </c>
      <c r="G43" s="4" t="s">
        <v>21</v>
      </c>
      <c r="H43" s="4" t="n">
        <v>20</v>
      </c>
      <c r="I43" s="4" t="n">
        <v>50</v>
      </c>
      <c r="J43" s="4" t="n">
        <v>30</v>
      </c>
      <c r="K43" s="4" t="n">
        <v>-0.15</v>
      </c>
      <c r="L43" s="6" t="n">
        <f aca="false">IF(G43="round",PI()/4*H43*I43,H43*I43)*J43*2.4/1000</f>
        <v>72</v>
      </c>
      <c r="M43" s="4" t="n">
        <v>20227</v>
      </c>
      <c r="N43" s="4" t="n">
        <v>26590</v>
      </c>
    </row>
    <row r="44" customFormat="false" ht="15" hidden="false" customHeight="false" outlineLevel="0" collapsed="false">
      <c r="A44" s="7" t="s">
        <v>92</v>
      </c>
      <c r="B44" s="7" t="s">
        <v>17</v>
      </c>
      <c r="C44" s="8" t="s">
        <v>86</v>
      </c>
      <c r="D44" s="7" t="n">
        <v>1</v>
      </c>
      <c r="E44" s="7" t="s">
        <v>27</v>
      </c>
      <c r="F44" s="7" t="s">
        <v>20</v>
      </c>
      <c r="G44" s="7" t="s">
        <v>21</v>
      </c>
      <c r="H44" s="7" t="n">
        <v>20</v>
      </c>
      <c r="I44" s="7" t="n">
        <v>60</v>
      </c>
      <c r="J44" s="7" t="n">
        <v>30</v>
      </c>
      <c r="K44" s="7" t="n">
        <v>-0.15</v>
      </c>
      <c r="L44" s="9" t="n">
        <f aca="false">IF(G44="round",PI()/4*H44*I44,H44*I44)*J44*2.4/1000</f>
        <v>86.4</v>
      </c>
      <c r="M44" s="7" t="n">
        <v>19715</v>
      </c>
      <c r="N44" s="7" t="n">
        <v>23801</v>
      </c>
    </row>
    <row r="45" customFormat="false" ht="15" hidden="false" customHeight="false" outlineLevel="0" collapsed="false">
      <c r="A45" s="4" t="s">
        <v>93</v>
      </c>
      <c r="B45" s="4" t="s">
        <v>17</v>
      </c>
      <c r="C45" s="5" t="s">
        <v>86</v>
      </c>
      <c r="D45" s="4" t="n">
        <v>1</v>
      </c>
      <c r="E45" s="4" t="s">
        <v>44</v>
      </c>
      <c r="F45" s="4" t="s">
        <v>20</v>
      </c>
      <c r="G45" s="4" t="s">
        <v>21</v>
      </c>
      <c r="H45" s="4" t="n">
        <v>90</v>
      </c>
      <c r="I45" s="4" t="n">
        <v>139</v>
      </c>
      <c r="J45" s="4" t="n">
        <v>30</v>
      </c>
      <c r="K45" s="4" t="n">
        <v>-0.85</v>
      </c>
      <c r="L45" s="6" t="n">
        <f aca="false">IF(G45="round",PI()/4*H45*I45,H45*I45)*J45*2.4/1000</f>
        <v>900.72</v>
      </c>
      <c r="M45" s="4" t="n">
        <v>25816</v>
      </c>
      <c r="N45" s="4" t="n">
        <v>33454</v>
      </c>
    </row>
    <row r="46" customFormat="false" ht="15" hidden="false" customHeight="false" outlineLevel="0" collapsed="false">
      <c r="A46" s="7" t="s">
        <v>94</v>
      </c>
      <c r="B46" s="7" t="s">
        <v>17</v>
      </c>
      <c r="C46" s="8" t="s">
        <v>86</v>
      </c>
      <c r="D46" s="7" t="n">
        <v>1</v>
      </c>
      <c r="E46" s="7" t="s">
        <v>42</v>
      </c>
      <c r="F46" s="7" t="s">
        <v>20</v>
      </c>
      <c r="G46" s="7" t="s">
        <v>21</v>
      </c>
      <c r="H46" s="7" t="n">
        <v>114</v>
      </c>
      <c r="I46" s="7" t="n">
        <v>74</v>
      </c>
      <c r="J46" s="7" t="n">
        <v>30</v>
      </c>
      <c r="K46" s="7" t="n">
        <v>-0.85</v>
      </c>
      <c r="L46" s="9" t="n">
        <f aca="false">IF(G46="round",PI()/4*H46*I46,H46*I46)*J46*2.4/1000</f>
        <v>607.392</v>
      </c>
      <c r="M46" s="7" t="n">
        <v>27013</v>
      </c>
      <c r="N46" s="7" t="n">
        <v>33926</v>
      </c>
    </row>
    <row r="47" customFormat="false" ht="15" hidden="false" customHeight="false" outlineLevel="0" collapsed="false">
      <c r="A47" s="4" t="s">
        <v>95</v>
      </c>
      <c r="B47" s="4" t="s">
        <v>17</v>
      </c>
      <c r="C47" s="5" t="s">
        <v>86</v>
      </c>
      <c r="D47" s="4" t="n">
        <v>1</v>
      </c>
      <c r="E47" s="4" t="s">
        <v>46</v>
      </c>
      <c r="F47" s="4" t="s">
        <v>20</v>
      </c>
      <c r="G47" s="4" t="s">
        <v>21</v>
      </c>
      <c r="H47" s="4" t="n">
        <v>15</v>
      </c>
      <c r="I47" s="4" t="n">
        <v>120</v>
      </c>
      <c r="J47" s="4" t="n">
        <v>30</v>
      </c>
      <c r="K47" s="4" t="n">
        <v>-0.85</v>
      </c>
      <c r="L47" s="6" t="n">
        <f aca="false">IF(G47="round",PI()/4*H47*I47,H47*I47)*J47*2.4/1000</f>
        <v>129.6</v>
      </c>
      <c r="M47" s="4" t="n">
        <v>26281</v>
      </c>
      <c r="N47" s="4" t="n">
        <v>34417</v>
      </c>
    </row>
    <row r="48" customFormat="false" ht="15" hidden="false" customHeight="false" outlineLevel="0" collapsed="false">
      <c r="A48" s="7" t="s">
        <v>96</v>
      </c>
      <c r="B48" s="7" t="s">
        <v>17</v>
      </c>
      <c r="C48" s="8" t="s">
        <v>86</v>
      </c>
      <c r="D48" s="7" t="n">
        <v>1</v>
      </c>
      <c r="E48" s="7" t="s">
        <v>48</v>
      </c>
      <c r="F48" s="7" t="s">
        <v>20</v>
      </c>
      <c r="G48" s="7" t="s">
        <v>21</v>
      </c>
      <c r="H48" s="7" t="n">
        <v>20</v>
      </c>
      <c r="I48" s="7" t="n">
        <v>135</v>
      </c>
      <c r="J48" s="7" t="n">
        <v>30</v>
      </c>
      <c r="K48" s="7" t="n">
        <v>-0.15</v>
      </c>
      <c r="L48" s="9" t="n">
        <f aca="false">IF(G48="round",PI()/4*H48*I48,H48*I48)*J48*2.4/1000</f>
        <v>194.4</v>
      </c>
      <c r="M48" s="7" t="n">
        <v>29340</v>
      </c>
      <c r="N48" s="7" t="n">
        <v>33443</v>
      </c>
    </row>
    <row r="49" customFormat="false" ht="15" hidden="false" customHeight="false" outlineLevel="0" collapsed="false">
      <c r="A49" s="4" t="s">
        <v>97</v>
      </c>
      <c r="B49" s="4" t="s">
        <v>17</v>
      </c>
      <c r="C49" s="5" t="s">
        <v>86</v>
      </c>
      <c r="D49" s="4" t="n">
        <v>1</v>
      </c>
      <c r="E49" s="4" t="s">
        <v>50</v>
      </c>
      <c r="F49" s="4" t="s">
        <v>20</v>
      </c>
      <c r="G49" s="4" t="s">
        <v>21</v>
      </c>
      <c r="H49" s="4" t="n">
        <v>100</v>
      </c>
      <c r="I49" s="4" t="n">
        <v>6</v>
      </c>
      <c r="J49" s="4" t="n">
        <v>30</v>
      </c>
      <c r="K49" s="4" t="n">
        <v>-0.15</v>
      </c>
      <c r="L49" s="6" t="n">
        <f aca="false">IF(G49="round",PI()/4*H49*I49,H49*I49)*J49*2.4/1000</f>
        <v>43.2</v>
      </c>
      <c r="M49" s="4" t="n">
        <v>29176</v>
      </c>
      <c r="N49" s="4" t="n">
        <v>35811</v>
      </c>
    </row>
    <row r="50" customFormat="false" ht="15" hidden="false" customHeight="false" outlineLevel="0" collapsed="false">
      <c r="A50" s="7" t="s">
        <v>98</v>
      </c>
      <c r="B50" s="7" t="s">
        <v>17</v>
      </c>
      <c r="C50" s="8" t="s">
        <v>86</v>
      </c>
      <c r="D50" s="7" t="n">
        <v>1</v>
      </c>
      <c r="E50" s="7" t="s">
        <v>99</v>
      </c>
      <c r="F50" s="7" t="s">
        <v>20</v>
      </c>
      <c r="G50" s="7" t="s">
        <v>21</v>
      </c>
      <c r="H50" s="7" t="n">
        <v>60</v>
      </c>
      <c r="I50" s="7" t="n">
        <v>30</v>
      </c>
      <c r="J50" s="7" t="n">
        <v>29</v>
      </c>
      <c r="K50" s="7" t="n">
        <v>-0.15</v>
      </c>
      <c r="L50" s="9" t="n">
        <f aca="false">IF(G50="round",PI()/4*H50*I50,H50*I50)*J50*2.4/1000</f>
        <v>125.28</v>
      </c>
      <c r="M50" s="7" t="n">
        <v>10441</v>
      </c>
      <c r="N50" s="7" t="n">
        <v>57678</v>
      </c>
    </row>
    <row r="51" customFormat="false" ht="15" hidden="false" customHeight="false" outlineLevel="0" collapsed="false">
      <c r="A51" s="4" t="s">
        <v>100</v>
      </c>
      <c r="B51" s="4" t="s">
        <v>17</v>
      </c>
      <c r="C51" s="5" t="s">
        <v>86</v>
      </c>
      <c r="D51" s="4" t="n">
        <v>1</v>
      </c>
      <c r="E51" s="4" t="s">
        <v>101</v>
      </c>
      <c r="F51" s="4" t="s">
        <v>20</v>
      </c>
      <c r="G51" s="4" t="s">
        <v>80</v>
      </c>
      <c r="H51" s="4" t="n">
        <v>60</v>
      </c>
      <c r="I51" s="4" t="n">
        <v>60</v>
      </c>
      <c r="J51" s="4" t="n">
        <v>30</v>
      </c>
      <c r="K51" s="4" t="n">
        <v>-0.15</v>
      </c>
      <c r="L51" s="6" t="n">
        <f aca="false">IF(G51="round",PI()/4*H51*I51,H51*I51)*J51*2.4/1000</f>
        <v>203.575203952619</v>
      </c>
      <c r="M51" s="4" t="n">
        <v>10441</v>
      </c>
      <c r="N51" s="4" t="n">
        <v>57211</v>
      </c>
    </row>
    <row r="52" customFormat="false" ht="15" hidden="false" customHeight="false" outlineLevel="0" collapsed="false">
      <c r="A52" s="7" t="s">
        <v>102</v>
      </c>
      <c r="B52" s="7" t="s">
        <v>17</v>
      </c>
      <c r="C52" s="8" t="s">
        <v>86</v>
      </c>
      <c r="D52" s="7" t="n">
        <v>1</v>
      </c>
      <c r="E52" s="7" t="s">
        <v>103</v>
      </c>
      <c r="F52" s="7" t="s">
        <v>20</v>
      </c>
      <c r="G52" s="7" t="s">
        <v>21</v>
      </c>
      <c r="H52" s="7" t="n">
        <v>15</v>
      </c>
      <c r="I52" s="7" t="n">
        <v>20</v>
      </c>
      <c r="J52" s="7" t="n">
        <v>30</v>
      </c>
      <c r="K52" s="7" t="n">
        <v>-0.15</v>
      </c>
      <c r="L52" s="9" t="n">
        <f aca="false">IF(G52="round",PI()/4*H52*I52,H52*I52)*J52*2.4/1000</f>
        <v>21.6</v>
      </c>
      <c r="M52" s="7" t="n">
        <v>29168</v>
      </c>
      <c r="N52" s="7" t="n">
        <v>54029</v>
      </c>
    </row>
    <row r="53" customFormat="false" ht="15" hidden="false" customHeight="false" outlineLevel="0" collapsed="false">
      <c r="A53" s="4" t="s">
        <v>104</v>
      </c>
      <c r="B53" s="4" t="s">
        <v>17</v>
      </c>
      <c r="C53" s="5" t="s">
        <v>105</v>
      </c>
      <c r="D53" s="10" t="n">
        <v>2</v>
      </c>
      <c r="E53" s="4" t="s">
        <v>25</v>
      </c>
      <c r="F53" s="4" t="s">
        <v>20</v>
      </c>
      <c r="G53" s="4" t="s">
        <v>21</v>
      </c>
      <c r="H53" s="4" t="n">
        <v>20</v>
      </c>
      <c r="I53" s="4" t="n">
        <v>50</v>
      </c>
      <c r="J53" s="4" t="n">
        <v>30</v>
      </c>
      <c r="K53" s="4" t="n">
        <v>-0.15</v>
      </c>
      <c r="L53" s="6" t="n">
        <f aca="false">IF(G53="round",PI()/4*H53*I53,H53*I53)*J53*2.4/1000</f>
        <v>72</v>
      </c>
      <c r="M53" s="4" t="n">
        <v>7111</v>
      </c>
      <c r="N53" s="4" t="n">
        <v>73026</v>
      </c>
    </row>
    <row r="54" customFormat="false" ht="15" hidden="false" customHeight="false" outlineLevel="0" collapsed="false">
      <c r="A54" s="7" t="s">
        <v>106</v>
      </c>
      <c r="B54" s="7" t="s">
        <v>17</v>
      </c>
      <c r="C54" s="8" t="s">
        <v>107</v>
      </c>
      <c r="D54" s="7" t="n">
        <v>1</v>
      </c>
      <c r="E54" s="7" t="s">
        <v>108</v>
      </c>
      <c r="F54" s="7" t="s">
        <v>20</v>
      </c>
      <c r="G54" s="7" t="s">
        <v>21</v>
      </c>
      <c r="H54" s="7" t="n">
        <v>60</v>
      </c>
      <c r="I54" s="7" t="n">
        <v>40</v>
      </c>
      <c r="J54" s="7" t="n">
        <v>28</v>
      </c>
      <c r="K54" s="7" t="n">
        <v>-0.155</v>
      </c>
      <c r="L54" s="9" t="n">
        <f aca="false">IF(G54="round",PI()/4*H54*I54,H54*I54)*J54*2.4/1000</f>
        <v>161.28</v>
      </c>
      <c r="M54" s="7" t="n">
        <v>13717</v>
      </c>
      <c r="N54" s="7" t="n">
        <v>37685</v>
      </c>
    </row>
    <row r="55" customFormat="false" ht="15" hidden="false" customHeight="false" outlineLevel="0" collapsed="false">
      <c r="A55" s="4" t="s">
        <v>109</v>
      </c>
      <c r="B55" s="4" t="s">
        <v>17</v>
      </c>
      <c r="C55" s="5" t="s">
        <v>105</v>
      </c>
      <c r="D55" s="10" t="n">
        <v>2</v>
      </c>
      <c r="E55" s="4" t="s">
        <v>110</v>
      </c>
      <c r="F55" s="4" t="s">
        <v>20</v>
      </c>
      <c r="G55" s="4" t="s">
        <v>21</v>
      </c>
      <c r="H55" s="4" t="n">
        <v>25</v>
      </c>
      <c r="I55" s="4" t="n">
        <v>100</v>
      </c>
      <c r="J55" s="4" t="n">
        <v>30</v>
      </c>
      <c r="K55" s="4" t="n">
        <v>-0.15</v>
      </c>
      <c r="L55" s="6" t="n">
        <f aca="false">IF(G55="round",PI()/4*H55*I55,H55*I55)*J55*2.4/1000</f>
        <v>180</v>
      </c>
      <c r="M55" s="4" t="n">
        <v>6910</v>
      </c>
      <c r="N55" s="4" t="n">
        <v>69104</v>
      </c>
    </row>
    <row r="56" customFormat="false" ht="15" hidden="false" customHeight="false" outlineLevel="0" collapsed="false">
      <c r="A56" s="7" t="s">
        <v>111</v>
      </c>
      <c r="B56" s="7" t="s">
        <v>17</v>
      </c>
      <c r="C56" s="8" t="s">
        <v>107</v>
      </c>
      <c r="D56" s="7" t="n">
        <v>1</v>
      </c>
      <c r="E56" s="7" t="s">
        <v>62</v>
      </c>
      <c r="F56" s="7" t="s">
        <v>20</v>
      </c>
      <c r="G56" s="7" t="s">
        <v>21</v>
      </c>
      <c r="H56" s="7" t="n">
        <v>55</v>
      </c>
      <c r="I56" s="7" t="n">
        <v>25</v>
      </c>
      <c r="J56" s="7" t="n">
        <v>30</v>
      </c>
      <c r="K56" s="7" t="n">
        <v>-0.65</v>
      </c>
      <c r="L56" s="9" t="n">
        <f aca="false">IF(G56="round",PI()/4*H56*I56,H56*I56)*J56*2.4/1000</f>
        <v>99</v>
      </c>
      <c r="M56" s="7" t="n">
        <v>14386</v>
      </c>
      <c r="N56" s="7" t="n">
        <v>16487</v>
      </c>
    </row>
    <row r="57" customFormat="false" ht="15" hidden="false" customHeight="false" outlineLevel="0" collapsed="false">
      <c r="A57" s="4" t="s">
        <v>112</v>
      </c>
      <c r="B57" s="4" t="s">
        <v>17</v>
      </c>
      <c r="C57" s="5" t="s">
        <v>107</v>
      </c>
      <c r="D57" s="4" t="n">
        <v>1</v>
      </c>
      <c r="E57" s="4" t="s">
        <v>68</v>
      </c>
      <c r="F57" s="4" t="s">
        <v>20</v>
      </c>
      <c r="G57" s="4" t="s">
        <v>21</v>
      </c>
      <c r="H57" s="4" t="n">
        <v>130</v>
      </c>
      <c r="I57" s="4" t="n">
        <v>140</v>
      </c>
      <c r="J57" s="4" t="n">
        <v>30</v>
      </c>
      <c r="K57" s="4" t="n">
        <v>-0.65</v>
      </c>
      <c r="L57" s="6" t="n">
        <f aca="false">IF(G57="round",PI()/4*H57*I57,H57*I57)*J57*2.4/1000</f>
        <v>1310.4</v>
      </c>
      <c r="M57" s="4" t="n">
        <v>12457</v>
      </c>
      <c r="N57" s="4" t="n">
        <v>14058</v>
      </c>
    </row>
    <row r="58" customFormat="false" ht="15" hidden="false" customHeight="false" outlineLevel="0" collapsed="false">
      <c r="A58" s="7" t="s">
        <v>113</v>
      </c>
      <c r="B58" s="7" t="s">
        <v>17</v>
      </c>
      <c r="C58" s="8" t="s">
        <v>107</v>
      </c>
      <c r="D58" s="7" t="n">
        <v>1</v>
      </c>
      <c r="E58" s="7" t="s">
        <v>114</v>
      </c>
      <c r="F58" s="7" t="s">
        <v>20</v>
      </c>
      <c r="G58" s="7" t="s">
        <v>21</v>
      </c>
      <c r="H58" s="7" t="n">
        <v>60</v>
      </c>
      <c r="I58" s="7" t="n">
        <v>70</v>
      </c>
      <c r="J58" s="7" t="n">
        <v>28</v>
      </c>
      <c r="K58" s="7" t="n">
        <v>-0.155</v>
      </c>
      <c r="L58" s="9" t="n">
        <f aca="false">IF(G58="round",PI()/4*H58*I58,H58*I58)*J58*2.4/1000</f>
        <v>282.24</v>
      </c>
      <c r="M58" s="7" t="n">
        <v>14794</v>
      </c>
      <c r="N58" s="7" t="n">
        <v>37685</v>
      </c>
    </row>
    <row r="59" customFormat="false" ht="15" hidden="false" customHeight="false" outlineLevel="0" collapsed="false">
      <c r="A59" s="4" t="s">
        <v>115</v>
      </c>
      <c r="B59" s="4" t="s">
        <v>17</v>
      </c>
      <c r="C59" s="5" t="s">
        <v>116</v>
      </c>
      <c r="D59" s="10" t="n">
        <v>2</v>
      </c>
      <c r="E59" s="4" t="s">
        <v>117</v>
      </c>
      <c r="F59" s="4" t="s">
        <v>20</v>
      </c>
      <c r="G59" s="4" t="s">
        <v>21</v>
      </c>
      <c r="H59" s="4" t="n">
        <v>30</v>
      </c>
      <c r="I59" s="4" t="n">
        <v>20</v>
      </c>
      <c r="J59" s="4" t="n">
        <v>30</v>
      </c>
      <c r="K59" s="4" t="n">
        <v>-0.15</v>
      </c>
      <c r="L59" s="6" t="n">
        <f aca="false">IF(G59="round",PI()/4*H59*I59,H59*I59)*J59*2.4/1000</f>
        <v>43.2</v>
      </c>
      <c r="M59" s="4" t="n">
        <v>29915</v>
      </c>
      <c r="N59" s="4" t="n">
        <v>48292</v>
      </c>
    </row>
    <row r="60" customFormat="false" ht="15" hidden="false" customHeight="false" outlineLevel="0" collapsed="false">
      <c r="A60" s="7" t="s">
        <v>118</v>
      </c>
      <c r="B60" s="7" t="s">
        <v>17</v>
      </c>
      <c r="C60" s="8" t="s">
        <v>116</v>
      </c>
      <c r="D60" s="10" t="n">
        <v>2</v>
      </c>
      <c r="E60" s="7" t="s">
        <v>119</v>
      </c>
      <c r="F60" s="7" t="s">
        <v>20</v>
      </c>
      <c r="G60" s="7" t="s">
        <v>21</v>
      </c>
      <c r="H60" s="7" t="n">
        <v>20</v>
      </c>
      <c r="I60" s="7" t="n">
        <v>15</v>
      </c>
      <c r="J60" s="7" t="n">
        <v>30</v>
      </c>
      <c r="K60" s="7" t="n">
        <v>-0.15</v>
      </c>
      <c r="L60" s="9" t="n">
        <f aca="false">IF(G60="round",PI()/4*H60*I60,H60*I60)*J60*2.4/1000</f>
        <v>21.6</v>
      </c>
      <c r="M60" s="7" t="n">
        <v>29350</v>
      </c>
      <c r="N60" s="7" t="n">
        <v>43243</v>
      </c>
    </row>
    <row r="61" customFormat="false" ht="15" hidden="false" customHeight="false" outlineLevel="0" collapsed="false">
      <c r="A61" s="4" t="s">
        <v>120</v>
      </c>
      <c r="B61" s="4" t="s">
        <v>17</v>
      </c>
      <c r="C61" s="5" t="s">
        <v>116</v>
      </c>
      <c r="D61" s="10" t="n">
        <v>2</v>
      </c>
      <c r="E61" s="4" t="s">
        <v>121</v>
      </c>
      <c r="F61" s="4" t="s">
        <v>20</v>
      </c>
      <c r="G61" s="4" t="s">
        <v>80</v>
      </c>
      <c r="H61" s="4" t="n">
        <v>20</v>
      </c>
      <c r="I61" s="4" t="n">
        <v>20</v>
      </c>
      <c r="J61" s="4" t="n">
        <v>30</v>
      </c>
      <c r="K61" s="4" t="n">
        <v>-0.15</v>
      </c>
      <c r="L61" s="6" t="n">
        <f aca="false">IF(G61="round",PI()/4*H61*I61,H61*I61)*J61*2.4/1000</f>
        <v>22.6194671058465</v>
      </c>
      <c r="M61" s="4" t="n">
        <v>29350</v>
      </c>
      <c r="N61" s="4" t="n">
        <v>41477</v>
      </c>
    </row>
    <row r="62" customFormat="false" ht="15" hidden="false" customHeight="false" outlineLevel="0" collapsed="false">
      <c r="A62" s="7" t="s">
        <v>122</v>
      </c>
      <c r="B62" s="7" t="s">
        <v>17</v>
      </c>
      <c r="C62" s="8" t="s">
        <v>123</v>
      </c>
      <c r="D62" s="7" t="n">
        <v>1</v>
      </c>
      <c r="E62" s="7" t="s">
        <v>23</v>
      </c>
      <c r="F62" s="7" t="s">
        <v>20</v>
      </c>
      <c r="G62" s="7" t="s">
        <v>21</v>
      </c>
      <c r="H62" s="7" t="n">
        <v>200</v>
      </c>
      <c r="I62" s="7" t="n">
        <v>50</v>
      </c>
      <c r="J62" s="7" t="n">
        <v>25</v>
      </c>
      <c r="K62" s="7" t="n">
        <v>-0.8</v>
      </c>
      <c r="L62" s="9" t="n">
        <f aca="false">IF(G62="round",PI()/4*H62*I62,H62*I62)*J62*2.4/1000</f>
        <v>600</v>
      </c>
      <c r="M62" s="7" t="n">
        <v>25271</v>
      </c>
      <c r="N62" s="7" t="n">
        <v>73435</v>
      </c>
    </row>
    <row r="63" customFormat="false" ht="15" hidden="false" customHeight="false" outlineLevel="0" collapsed="false">
      <c r="A63" s="4" t="s">
        <v>124</v>
      </c>
      <c r="B63" s="4" t="s">
        <v>17</v>
      </c>
      <c r="C63" s="5" t="s">
        <v>125</v>
      </c>
      <c r="D63" s="10" t="n">
        <v>2</v>
      </c>
      <c r="E63" s="4" t="s">
        <v>126</v>
      </c>
      <c r="F63" s="4" t="s">
        <v>20</v>
      </c>
      <c r="G63" s="4" t="s">
        <v>21</v>
      </c>
      <c r="H63" s="4" t="n">
        <v>35</v>
      </c>
      <c r="I63" s="4" t="n">
        <v>65</v>
      </c>
      <c r="J63" s="4" t="n">
        <v>25</v>
      </c>
      <c r="K63" s="4" t="n">
        <v>-0.8</v>
      </c>
      <c r="L63" s="6" t="n">
        <f aca="false">IF(G63="round",PI()/4*H63*I63,H63*I63)*J63*2.4/1000</f>
        <v>136.5</v>
      </c>
      <c r="M63" s="4" t="n">
        <v>15666</v>
      </c>
      <c r="N63" s="4" t="n">
        <v>26799</v>
      </c>
    </row>
    <row r="64" customFormat="false" ht="15" hidden="false" customHeight="false" outlineLevel="0" collapsed="false">
      <c r="A64" s="7" t="s">
        <v>127</v>
      </c>
      <c r="B64" s="7" t="s">
        <v>17</v>
      </c>
      <c r="C64" s="8" t="s">
        <v>125</v>
      </c>
      <c r="D64" s="10" t="n">
        <v>2</v>
      </c>
      <c r="E64" s="7" t="s">
        <v>25</v>
      </c>
      <c r="F64" s="7" t="s">
        <v>20</v>
      </c>
      <c r="G64" s="7" t="s">
        <v>21</v>
      </c>
      <c r="H64" s="7" t="n">
        <v>20</v>
      </c>
      <c r="I64" s="7" t="n">
        <v>50</v>
      </c>
      <c r="J64" s="7" t="n">
        <v>25</v>
      </c>
      <c r="K64" s="7" t="n">
        <v>-0.8</v>
      </c>
      <c r="L64" s="9" t="n">
        <f aca="false">IF(G64="round",PI()/4*H64*I64,H64*I64)*J64*2.4/1000</f>
        <v>60</v>
      </c>
      <c r="M64" s="7" t="n">
        <v>10830</v>
      </c>
      <c r="N64" s="7" t="n">
        <v>24693</v>
      </c>
    </row>
    <row r="65" customFormat="false" ht="15" hidden="false" customHeight="false" outlineLevel="0" collapsed="false">
      <c r="A65" s="4" t="s">
        <v>128</v>
      </c>
      <c r="B65" s="4" t="s">
        <v>17</v>
      </c>
      <c r="C65" s="5" t="s">
        <v>123</v>
      </c>
      <c r="D65" s="4" t="n">
        <v>1</v>
      </c>
      <c r="E65" s="4" t="s">
        <v>25</v>
      </c>
      <c r="F65" s="4" t="s">
        <v>20</v>
      </c>
      <c r="G65" s="4" t="s">
        <v>21</v>
      </c>
      <c r="H65" s="4" t="n">
        <v>20</v>
      </c>
      <c r="I65" s="4" t="n">
        <v>50</v>
      </c>
      <c r="J65" s="4" t="n">
        <v>60</v>
      </c>
      <c r="K65" s="4" t="n">
        <v>-0.15</v>
      </c>
      <c r="L65" s="6" t="n">
        <f aca="false">IF(G65="round",PI()/4*H65*I65,H65*I65)*J65*2.4/1000</f>
        <v>144</v>
      </c>
      <c r="M65" s="4" t="n">
        <v>18130</v>
      </c>
      <c r="N65" s="4" t="n">
        <v>72458</v>
      </c>
    </row>
    <row r="66" customFormat="false" ht="15" hidden="false" customHeight="false" outlineLevel="0" collapsed="false">
      <c r="A66" s="7" t="s">
        <v>129</v>
      </c>
      <c r="B66" s="7" t="s">
        <v>17</v>
      </c>
      <c r="C66" s="8" t="s">
        <v>123</v>
      </c>
      <c r="D66" s="7" t="n">
        <v>1</v>
      </c>
      <c r="E66" s="7" t="s">
        <v>88</v>
      </c>
      <c r="F66" s="7" t="s">
        <v>20</v>
      </c>
      <c r="G66" s="7" t="s">
        <v>21</v>
      </c>
      <c r="H66" s="7" t="n">
        <v>50</v>
      </c>
      <c r="I66" s="7" t="n">
        <v>20</v>
      </c>
      <c r="J66" s="7" t="n">
        <v>25</v>
      </c>
      <c r="K66" s="7" t="n">
        <v>-0.8</v>
      </c>
      <c r="L66" s="9" t="n">
        <f aca="false">IF(G66="round",PI()/4*H66*I66,H66*I66)*J66*2.4/1000</f>
        <v>60</v>
      </c>
      <c r="M66" s="7" t="n">
        <v>20750</v>
      </c>
      <c r="N66" s="7" t="n">
        <v>41050</v>
      </c>
    </row>
    <row r="67" customFormat="false" ht="15" hidden="false" customHeight="false" outlineLevel="0" collapsed="false">
      <c r="A67" s="4" t="s">
        <v>130</v>
      </c>
      <c r="B67" s="4" t="s">
        <v>17</v>
      </c>
      <c r="C67" s="5" t="s">
        <v>131</v>
      </c>
      <c r="D67" s="4" t="n">
        <v>1</v>
      </c>
      <c r="E67" s="4" t="s">
        <v>32</v>
      </c>
      <c r="F67" s="4" t="s">
        <v>20</v>
      </c>
      <c r="G67" s="4" t="s">
        <v>21</v>
      </c>
      <c r="H67" s="4" t="n">
        <v>25</v>
      </c>
      <c r="I67" s="4" t="n">
        <v>55</v>
      </c>
      <c r="J67" s="4" t="n">
        <v>25</v>
      </c>
      <c r="K67" s="4" t="n">
        <v>-0.15</v>
      </c>
      <c r="L67" s="6" t="n">
        <f aca="false">IF(G67="round",PI()/4*H67*I67,H67*I67)*J67*2.4/1000</f>
        <v>82.5</v>
      </c>
      <c r="M67" s="4" t="n">
        <v>9553</v>
      </c>
      <c r="N67" s="4" t="n">
        <v>57128</v>
      </c>
    </row>
    <row r="68" customFormat="false" ht="15" hidden="false" customHeight="false" outlineLevel="0" collapsed="false">
      <c r="A68" s="7" t="s">
        <v>132</v>
      </c>
      <c r="B68" s="7" t="s">
        <v>17</v>
      </c>
      <c r="C68" s="8" t="s">
        <v>131</v>
      </c>
      <c r="D68" s="7" t="n">
        <v>1</v>
      </c>
      <c r="E68" s="7" t="s">
        <v>30</v>
      </c>
      <c r="F68" s="7" t="s">
        <v>20</v>
      </c>
      <c r="G68" s="7" t="s">
        <v>21</v>
      </c>
      <c r="H68" s="7" t="n">
        <v>6</v>
      </c>
      <c r="I68" s="7" t="n">
        <v>50</v>
      </c>
      <c r="J68" s="7" t="n">
        <v>90</v>
      </c>
      <c r="K68" s="7" t="n">
        <v>-0.15</v>
      </c>
      <c r="L68" s="9" t="n">
        <f aca="false">IF(G68="round",PI()/4*H68*I68,H68*I68)*J68*2.4/1000</f>
        <v>64.8</v>
      </c>
      <c r="M68" s="7" t="n">
        <v>8876</v>
      </c>
      <c r="N68" s="7" t="n">
        <v>57252</v>
      </c>
    </row>
    <row r="69" customFormat="false" ht="15" hidden="false" customHeight="false" outlineLevel="0" collapsed="false">
      <c r="A69" s="4" t="s">
        <v>133</v>
      </c>
      <c r="B69" s="4" t="s">
        <v>17</v>
      </c>
      <c r="C69" s="5" t="s">
        <v>131</v>
      </c>
      <c r="D69" s="4" t="n">
        <v>1</v>
      </c>
      <c r="E69" s="4" t="s">
        <v>34</v>
      </c>
      <c r="F69" s="4" t="s">
        <v>20</v>
      </c>
      <c r="G69" s="4" t="s">
        <v>21</v>
      </c>
      <c r="H69" s="4" t="n">
        <v>39</v>
      </c>
      <c r="I69" s="4" t="n">
        <v>34</v>
      </c>
      <c r="J69" s="4" t="n">
        <v>25</v>
      </c>
      <c r="K69" s="4" t="n">
        <v>-0.15</v>
      </c>
      <c r="L69" s="6" t="n">
        <f aca="false">IF(G69="round",PI()/4*H69*I69,H69*I69)*J69*2.4/1000</f>
        <v>79.56</v>
      </c>
      <c r="M69" s="4" t="n">
        <v>10318</v>
      </c>
      <c r="N69" s="4" t="n">
        <v>57128</v>
      </c>
    </row>
    <row r="70" customFormat="false" ht="15" hidden="false" customHeight="false" outlineLevel="0" collapsed="false">
      <c r="A70" s="7" t="s">
        <v>134</v>
      </c>
      <c r="B70" s="7" t="s">
        <v>17</v>
      </c>
      <c r="C70" s="8" t="s">
        <v>131</v>
      </c>
      <c r="D70" s="7" t="n">
        <v>1</v>
      </c>
      <c r="E70" s="7" t="s">
        <v>38</v>
      </c>
      <c r="F70" s="7" t="s">
        <v>20</v>
      </c>
      <c r="G70" s="7" t="s">
        <v>21</v>
      </c>
      <c r="H70" s="7" t="n">
        <v>39</v>
      </c>
      <c r="I70" s="7" t="n">
        <v>44</v>
      </c>
      <c r="J70" s="7" t="n">
        <v>25</v>
      </c>
      <c r="K70" s="7" t="n">
        <v>-0.55</v>
      </c>
      <c r="L70" s="9" t="n">
        <f aca="false">IF(G70="round",PI()/4*H70*I70,H70*I70)*J70*2.4/1000</f>
        <v>102.96</v>
      </c>
      <c r="M70" s="7" t="n">
        <v>12286</v>
      </c>
      <c r="N70" s="7" t="n">
        <v>59982</v>
      </c>
    </row>
    <row r="71" customFormat="false" ht="15" hidden="false" customHeight="false" outlineLevel="0" collapsed="false">
      <c r="A71" s="4" t="s">
        <v>135</v>
      </c>
      <c r="B71" s="4" t="s">
        <v>17</v>
      </c>
      <c r="C71" s="5" t="s">
        <v>131</v>
      </c>
      <c r="D71" s="4" t="n">
        <v>1</v>
      </c>
      <c r="E71" s="4" t="s">
        <v>40</v>
      </c>
      <c r="F71" s="4" t="s">
        <v>20</v>
      </c>
      <c r="G71" s="4" t="s">
        <v>21</v>
      </c>
      <c r="H71" s="4" t="n">
        <v>10</v>
      </c>
      <c r="I71" s="4" t="n">
        <v>25</v>
      </c>
      <c r="J71" s="4" t="n">
        <v>25</v>
      </c>
      <c r="K71" s="4" t="n">
        <v>-0.55</v>
      </c>
      <c r="L71" s="6" t="n">
        <f aca="false">IF(G71="round",PI()/4*H71*I71,H71*I71)*J71*2.4/1000</f>
        <v>15</v>
      </c>
      <c r="M71" s="4" t="n">
        <v>13342</v>
      </c>
      <c r="N71" s="4" t="n">
        <v>59520</v>
      </c>
    </row>
    <row r="72" customFormat="false" ht="15" hidden="false" customHeight="false" outlineLevel="0" collapsed="false">
      <c r="A72" s="7" t="s">
        <v>136</v>
      </c>
      <c r="B72" s="7" t="s">
        <v>17</v>
      </c>
      <c r="C72" s="8" t="s">
        <v>131</v>
      </c>
      <c r="D72" s="7" t="n">
        <v>1</v>
      </c>
      <c r="E72" s="7" t="s">
        <v>79</v>
      </c>
      <c r="F72" s="7" t="s">
        <v>20</v>
      </c>
      <c r="G72" s="7" t="s">
        <v>80</v>
      </c>
      <c r="H72" s="7" t="n">
        <v>54</v>
      </c>
      <c r="I72" s="7" t="n">
        <v>54</v>
      </c>
      <c r="J72" s="7" t="n">
        <v>25</v>
      </c>
      <c r="K72" s="7" t="n">
        <v>-0.55</v>
      </c>
      <c r="L72" s="9" t="n">
        <f aca="false">IF(G72="round",PI()/4*H72*I72,H72*I72)*J72*2.4/1000</f>
        <v>137.413262668018</v>
      </c>
      <c r="M72" s="7" t="n">
        <v>18058</v>
      </c>
      <c r="N72" s="7" t="n">
        <v>60155</v>
      </c>
    </row>
    <row r="73" customFormat="false" ht="15" hidden="false" customHeight="false" outlineLevel="0" collapsed="false">
      <c r="A73" s="4" t="s">
        <v>137</v>
      </c>
      <c r="B73" s="4" t="s">
        <v>17</v>
      </c>
      <c r="C73" s="5" t="s">
        <v>131</v>
      </c>
      <c r="D73" s="4" t="n">
        <v>1</v>
      </c>
      <c r="E73" s="4" t="s">
        <v>84</v>
      </c>
      <c r="F73" s="4" t="s">
        <v>20</v>
      </c>
      <c r="G73" s="4" t="s">
        <v>21</v>
      </c>
      <c r="H73" s="4" t="n">
        <v>35</v>
      </c>
      <c r="I73" s="4" t="n">
        <v>10</v>
      </c>
      <c r="J73" s="4" t="n">
        <v>30</v>
      </c>
      <c r="K73" s="4" t="n">
        <v>-0.15</v>
      </c>
      <c r="L73" s="6" t="n">
        <f aca="false">IF(G73="round",PI()/4*H73*I73,H73*I73)*J73*2.4/1000</f>
        <v>25.2</v>
      </c>
      <c r="M73" s="4" t="n">
        <v>18088</v>
      </c>
      <c r="N73" s="4" t="n">
        <v>61229</v>
      </c>
    </row>
    <row r="74" customFormat="false" ht="15" hidden="false" customHeight="false" outlineLevel="0" collapsed="false">
      <c r="A74" s="7" t="s">
        <v>138</v>
      </c>
      <c r="B74" s="7" t="s">
        <v>17</v>
      </c>
      <c r="C74" s="8" t="s">
        <v>131</v>
      </c>
      <c r="D74" s="7" t="n">
        <v>1</v>
      </c>
      <c r="E74" s="7" t="s">
        <v>73</v>
      </c>
      <c r="F74" s="7" t="s">
        <v>20</v>
      </c>
      <c r="G74" s="7" t="s">
        <v>21</v>
      </c>
      <c r="H74" s="7" t="n">
        <v>84</v>
      </c>
      <c r="I74" s="7" t="n">
        <v>94</v>
      </c>
      <c r="J74" s="7" t="n">
        <v>25</v>
      </c>
      <c r="K74" s="7" t="n">
        <v>-0.55</v>
      </c>
      <c r="L74" s="9" t="n">
        <f aca="false">IF(G74="round",PI()/4*H74*I74,H74*I74)*J74*2.4/1000</f>
        <v>473.76</v>
      </c>
      <c r="M74" s="7" t="n">
        <v>18018</v>
      </c>
      <c r="N74" s="7" t="n">
        <v>57769</v>
      </c>
    </row>
    <row r="75" customFormat="false" ht="15" hidden="false" customHeight="false" outlineLevel="0" collapsed="false">
      <c r="A75" s="4" t="s">
        <v>139</v>
      </c>
      <c r="B75" s="4" t="s">
        <v>17</v>
      </c>
      <c r="C75" s="5" t="s">
        <v>131</v>
      </c>
      <c r="D75" s="4" t="n">
        <v>1</v>
      </c>
      <c r="E75" s="4" t="s">
        <v>77</v>
      </c>
      <c r="F75" s="4" t="s">
        <v>20</v>
      </c>
      <c r="G75" s="4" t="s">
        <v>21</v>
      </c>
      <c r="H75" s="4" t="n">
        <v>160</v>
      </c>
      <c r="I75" s="4" t="n">
        <v>30</v>
      </c>
      <c r="J75" s="4" t="n">
        <v>25</v>
      </c>
      <c r="K75" s="4" t="n">
        <v>-0.55</v>
      </c>
      <c r="L75" s="6" t="n">
        <f aca="false">IF(G75="round",PI()/4*H75*I75,H75*I75)*J75*2.4/1000</f>
        <v>288</v>
      </c>
      <c r="M75" s="4" t="n">
        <v>17552</v>
      </c>
      <c r="N75" s="4" t="n">
        <v>59876</v>
      </c>
    </row>
    <row r="76" customFormat="false" ht="15" hidden="false" customHeight="false" outlineLevel="0" collapsed="false">
      <c r="A76" s="7" t="s">
        <v>140</v>
      </c>
      <c r="B76" s="7" t="s">
        <v>17</v>
      </c>
      <c r="C76" s="8" t="s">
        <v>131</v>
      </c>
      <c r="D76" s="7" t="n">
        <v>1</v>
      </c>
      <c r="E76" s="7" t="s">
        <v>82</v>
      </c>
      <c r="F76" s="7" t="s">
        <v>20</v>
      </c>
      <c r="G76" s="7" t="s">
        <v>21</v>
      </c>
      <c r="H76" s="7" t="n">
        <v>154</v>
      </c>
      <c r="I76" s="7" t="n">
        <v>94</v>
      </c>
      <c r="J76" s="7" t="n">
        <v>30</v>
      </c>
      <c r="K76" s="7" t="n">
        <v>-0.15</v>
      </c>
      <c r="L76" s="9" t="n">
        <f aca="false">IF(G76="round",PI()/4*H76*I76,H76*I76)*J76*2.4/1000</f>
        <v>1042.272</v>
      </c>
      <c r="M76" s="7" t="n">
        <v>19307</v>
      </c>
      <c r="N76" s="7" t="n">
        <v>60818</v>
      </c>
    </row>
    <row r="77" customFormat="false" ht="15" hidden="false" customHeight="false" outlineLevel="0" collapsed="false">
      <c r="A77" s="4" t="s">
        <v>141</v>
      </c>
      <c r="B77" s="4" t="s">
        <v>17</v>
      </c>
      <c r="C77" s="5" t="s">
        <v>131</v>
      </c>
      <c r="D77" s="4" t="n">
        <v>1</v>
      </c>
      <c r="E77" s="4" t="s">
        <v>75</v>
      </c>
      <c r="F77" s="4" t="s">
        <v>20</v>
      </c>
      <c r="G77" s="4" t="s">
        <v>21</v>
      </c>
      <c r="H77" s="4" t="n">
        <v>64</v>
      </c>
      <c r="I77" s="4" t="n">
        <v>114</v>
      </c>
      <c r="J77" s="4" t="n">
        <v>25</v>
      </c>
      <c r="K77" s="4" t="n">
        <v>-0.55</v>
      </c>
      <c r="L77" s="6" t="n">
        <f aca="false">IF(G77="round",PI()/4*H77*I77,H77*I77)*J77*2.4/1000</f>
        <v>437.76</v>
      </c>
      <c r="M77" s="4" t="n">
        <v>19233</v>
      </c>
      <c r="N77" s="4" t="n">
        <v>57953</v>
      </c>
    </row>
    <row r="78" customFormat="false" ht="15" hidden="false" customHeight="false" outlineLevel="0" collapsed="false">
      <c r="A78" s="7" t="s">
        <v>142</v>
      </c>
      <c r="B78" s="7" t="s">
        <v>17</v>
      </c>
      <c r="C78" s="8" t="s">
        <v>131</v>
      </c>
      <c r="D78" s="7" t="n">
        <v>1</v>
      </c>
      <c r="E78" s="7" t="s">
        <v>36</v>
      </c>
      <c r="F78" s="7" t="s">
        <v>20</v>
      </c>
      <c r="G78" s="7" t="s">
        <v>21</v>
      </c>
      <c r="H78" s="7" t="n">
        <v>94</v>
      </c>
      <c r="I78" s="7" t="n">
        <v>164</v>
      </c>
      <c r="J78" s="7" t="n">
        <v>25</v>
      </c>
      <c r="K78" s="7" t="n">
        <v>-0.55</v>
      </c>
      <c r="L78" s="9" t="n">
        <f aca="false">IF(G78="round",PI()/4*H78*I78,H78*I78)*J78*2.4/1000</f>
        <v>924.96</v>
      </c>
      <c r="M78" s="7" t="n">
        <v>11330</v>
      </c>
      <c r="N78" s="7" t="n">
        <v>58229</v>
      </c>
    </row>
    <row r="79" customFormat="false" ht="15" hidden="false" customHeight="false" outlineLevel="0" collapsed="false">
      <c r="A79" s="4" t="s">
        <v>143</v>
      </c>
      <c r="B79" s="4" t="s">
        <v>17</v>
      </c>
      <c r="C79" s="5" t="s">
        <v>131</v>
      </c>
      <c r="D79" s="4" t="n">
        <v>1</v>
      </c>
      <c r="E79" s="4" t="s">
        <v>88</v>
      </c>
      <c r="F79" s="4" t="s">
        <v>20</v>
      </c>
      <c r="G79" s="4" t="s">
        <v>21</v>
      </c>
      <c r="H79" s="4" t="n">
        <v>50</v>
      </c>
      <c r="I79" s="4" t="n">
        <v>20</v>
      </c>
      <c r="J79" s="4" t="n">
        <v>25</v>
      </c>
      <c r="K79" s="4" t="n">
        <v>-0.15</v>
      </c>
      <c r="L79" s="6" t="n">
        <f aca="false">IF(G79="round",PI()/4*H79*I79,H79*I79)*J79*2.4/1000</f>
        <v>60</v>
      </c>
      <c r="M79" s="4" t="n">
        <v>9308</v>
      </c>
      <c r="N79" s="4" t="n">
        <v>27077</v>
      </c>
    </row>
    <row r="80" customFormat="false" ht="15" hidden="false" customHeight="false" outlineLevel="0" collapsed="false">
      <c r="A80" s="11" t="s">
        <v>144</v>
      </c>
      <c r="D80" s="12" t="n">
        <f aca="false">SUM(D5:D79)</f>
        <v>82</v>
      </c>
      <c r="L80" s="13" t="n">
        <f aca="false">SUM(L5:L79)</f>
        <v>27205.5683879147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2" min="11" style="0" width="9"/>
  </cols>
  <sheetData>
    <row r="1" customFormat="false" ht="15" hidden="false" customHeight="false" outlineLevel="0" collapsed="false">
      <c r="A1" s="14" t="s">
        <v>145</v>
      </c>
    </row>
    <row r="3" customFormat="false" ht="23.85" hidden="false" customHeight="false" outlineLevel="0" collapsed="false">
      <c r="A3" s="3" t="s">
        <v>2</v>
      </c>
      <c r="B3" s="3" t="s">
        <v>146</v>
      </c>
      <c r="C3" s="3" t="s">
        <v>147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13</v>
      </c>
      <c r="K3" s="3" t="s">
        <v>148</v>
      </c>
      <c r="L3" s="3" t="s">
        <v>149</v>
      </c>
    </row>
    <row r="4" customFormat="false" ht="15" hidden="false" customHeight="false" outlineLevel="0" collapsed="false">
      <c r="A4" s="15" t="s">
        <v>16</v>
      </c>
      <c r="B4" s="15"/>
      <c r="C4" s="15" t="s">
        <v>150</v>
      </c>
      <c r="D4" s="15" t="s">
        <v>19</v>
      </c>
      <c r="E4" s="15" t="s">
        <v>20</v>
      </c>
      <c r="F4" s="15" t="s">
        <v>21</v>
      </c>
      <c r="G4" s="15" t="n">
        <v>60</v>
      </c>
      <c r="H4" s="15" t="n">
        <v>45</v>
      </c>
      <c r="I4" s="15" t="n">
        <v>30</v>
      </c>
      <c r="J4" s="15" t="n">
        <v>194.4</v>
      </c>
      <c r="K4" s="15" t="n">
        <v>736.7</v>
      </c>
      <c r="L4" s="15" t="n">
        <v>3161</v>
      </c>
    </row>
    <row r="5" customFormat="false" ht="15" hidden="false" customHeight="false" outlineLevel="0" collapsed="false">
      <c r="A5" s="15" t="s">
        <v>22</v>
      </c>
      <c r="B5" s="15"/>
      <c r="C5" s="15" t="s">
        <v>150</v>
      </c>
      <c r="D5" s="15" t="s">
        <v>23</v>
      </c>
      <c r="E5" s="15" t="s">
        <v>20</v>
      </c>
      <c r="F5" s="15" t="s">
        <v>21</v>
      </c>
      <c r="G5" s="15" t="n">
        <v>200</v>
      </c>
      <c r="H5" s="15" t="n">
        <v>50</v>
      </c>
      <c r="I5" s="15" t="n">
        <v>25</v>
      </c>
      <c r="J5" s="15" t="n">
        <v>600</v>
      </c>
      <c r="K5" s="15" t="n">
        <v>960.1</v>
      </c>
      <c r="L5" s="15" t="n">
        <v>1481.1</v>
      </c>
    </row>
    <row r="6" customFormat="false" ht="15" hidden="false" customHeight="false" outlineLevel="0" collapsed="false">
      <c r="A6" s="15" t="s">
        <v>24</v>
      </c>
      <c r="B6" s="15"/>
      <c r="C6" s="15" t="s">
        <v>150</v>
      </c>
      <c r="D6" s="15" t="s">
        <v>25</v>
      </c>
      <c r="E6" s="15" t="s">
        <v>20</v>
      </c>
      <c r="F6" s="15" t="s">
        <v>21</v>
      </c>
      <c r="G6" s="15" t="n">
        <v>20</v>
      </c>
      <c r="H6" s="15" t="n">
        <v>50</v>
      </c>
      <c r="I6" s="15" t="n">
        <v>25</v>
      </c>
      <c r="J6" s="15" t="n">
        <v>60</v>
      </c>
      <c r="K6" s="15" t="n">
        <v>613.9</v>
      </c>
      <c r="L6" s="15" t="n">
        <v>1535.5</v>
      </c>
    </row>
    <row r="7" customFormat="false" ht="15" hidden="false" customHeight="false" outlineLevel="0" collapsed="false">
      <c r="A7" s="15" t="s">
        <v>26</v>
      </c>
      <c r="B7" s="15"/>
      <c r="C7" s="15" t="s">
        <v>150</v>
      </c>
      <c r="D7" s="15" t="s">
        <v>27</v>
      </c>
      <c r="E7" s="15" t="s">
        <v>20</v>
      </c>
      <c r="F7" s="15" t="s">
        <v>21</v>
      </c>
      <c r="G7" s="15" t="n">
        <v>20</v>
      </c>
      <c r="H7" s="15" t="n">
        <v>60</v>
      </c>
      <c r="I7" s="15" t="n">
        <v>30</v>
      </c>
      <c r="J7" s="15" t="n">
        <v>86.4</v>
      </c>
      <c r="K7" s="15" t="n">
        <v>1219.6</v>
      </c>
      <c r="L7" s="15" t="n">
        <v>3066.1</v>
      </c>
    </row>
    <row r="8" customFormat="false" ht="15" hidden="false" customHeight="false" outlineLevel="0" collapsed="false">
      <c r="A8" s="15" t="s">
        <v>28</v>
      </c>
      <c r="B8" s="15"/>
      <c r="C8" s="15" t="s">
        <v>150</v>
      </c>
      <c r="D8" s="15" t="s">
        <v>25</v>
      </c>
      <c r="E8" s="15" t="s">
        <v>20</v>
      </c>
      <c r="F8" s="15" t="s">
        <v>21</v>
      </c>
      <c r="G8" s="15" t="n">
        <v>20</v>
      </c>
      <c r="H8" s="15" t="n">
        <v>50</v>
      </c>
      <c r="I8" s="15" t="n">
        <v>30</v>
      </c>
      <c r="J8" s="15" t="n">
        <v>72</v>
      </c>
      <c r="K8" s="15" t="n">
        <v>1201.5</v>
      </c>
      <c r="L8" s="15" t="n">
        <v>3189.1</v>
      </c>
    </row>
    <row r="9" customFormat="false" ht="15" hidden="false" customHeight="false" outlineLevel="0" collapsed="false">
      <c r="A9" s="15" t="s">
        <v>29</v>
      </c>
      <c r="B9" s="15"/>
      <c r="C9" s="15" t="s">
        <v>150</v>
      </c>
      <c r="D9" s="15" t="s">
        <v>30</v>
      </c>
      <c r="E9" s="15" t="s">
        <v>20</v>
      </c>
      <c r="F9" s="15" t="s">
        <v>21</v>
      </c>
      <c r="G9" s="15" t="n">
        <v>6</v>
      </c>
      <c r="H9" s="15" t="n">
        <v>50</v>
      </c>
      <c r="I9" s="15" t="n">
        <v>30</v>
      </c>
      <c r="J9" s="15" t="n">
        <v>21.6</v>
      </c>
      <c r="K9" s="15" t="n">
        <v>1463.3</v>
      </c>
      <c r="L9" s="15" t="n">
        <v>1416.5</v>
      </c>
    </row>
    <row r="10" customFormat="false" ht="15" hidden="false" customHeight="false" outlineLevel="0" collapsed="false">
      <c r="A10" s="15" t="s">
        <v>31</v>
      </c>
      <c r="B10" s="15"/>
      <c r="C10" s="15" t="s">
        <v>150</v>
      </c>
      <c r="D10" s="15" t="s">
        <v>32</v>
      </c>
      <c r="E10" s="15" t="s">
        <v>20</v>
      </c>
      <c r="F10" s="15" t="s">
        <v>21</v>
      </c>
      <c r="G10" s="15" t="n">
        <v>25</v>
      </c>
      <c r="H10" s="15" t="n">
        <v>55</v>
      </c>
      <c r="I10" s="15" t="n">
        <v>30</v>
      </c>
      <c r="J10" s="15" t="n">
        <v>99</v>
      </c>
      <c r="K10" s="15" t="n">
        <v>1523.9</v>
      </c>
      <c r="L10" s="15" t="n">
        <v>1400.5</v>
      </c>
    </row>
    <row r="11" customFormat="false" ht="15" hidden="false" customHeight="false" outlineLevel="0" collapsed="false">
      <c r="A11" s="15" t="s">
        <v>33</v>
      </c>
      <c r="B11" s="15"/>
      <c r="C11" s="15" t="s">
        <v>150</v>
      </c>
      <c r="D11" s="15" t="s">
        <v>34</v>
      </c>
      <c r="E11" s="15" t="s">
        <v>20</v>
      </c>
      <c r="F11" s="15" t="s">
        <v>21</v>
      </c>
      <c r="G11" s="15" t="n">
        <v>39</v>
      </c>
      <c r="H11" s="15" t="n">
        <v>34</v>
      </c>
      <c r="I11" s="15" t="n">
        <v>30</v>
      </c>
      <c r="J11" s="15" t="n">
        <v>95.5</v>
      </c>
      <c r="K11" s="15" t="n">
        <v>1558</v>
      </c>
      <c r="L11" s="15" t="n">
        <v>1396.4</v>
      </c>
    </row>
    <row r="12" customFormat="false" ht="15" hidden="false" customHeight="false" outlineLevel="0" collapsed="false">
      <c r="A12" s="15" t="s">
        <v>35</v>
      </c>
      <c r="B12" s="15"/>
      <c r="C12" s="15" t="s">
        <v>150</v>
      </c>
      <c r="D12" s="15" t="s">
        <v>36</v>
      </c>
      <c r="E12" s="15" t="s">
        <v>20</v>
      </c>
      <c r="F12" s="15" t="s">
        <v>21</v>
      </c>
      <c r="G12" s="15" t="n">
        <v>94</v>
      </c>
      <c r="H12" s="15" t="n">
        <v>164</v>
      </c>
      <c r="I12" s="15" t="n">
        <v>28</v>
      </c>
      <c r="J12" s="15" t="n">
        <v>1036</v>
      </c>
      <c r="K12" s="15" t="n">
        <v>1637.2</v>
      </c>
      <c r="L12" s="15" t="n">
        <v>1410.2</v>
      </c>
    </row>
    <row r="13" customFormat="false" ht="15" hidden="false" customHeight="false" outlineLevel="0" collapsed="false">
      <c r="A13" s="15" t="s">
        <v>37</v>
      </c>
      <c r="B13" s="15"/>
      <c r="C13" s="15" t="s">
        <v>150</v>
      </c>
      <c r="D13" s="15" t="s">
        <v>38</v>
      </c>
      <c r="E13" s="15" t="s">
        <v>20</v>
      </c>
      <c r="F13" s="15" t="s">
        <v>21</v>
      </c>
      <c r="G13" s="15" t="n">
        <v>39</v>
      </c>
      <c r="H13" s="15" t="n">
        <v>44</v>
      </c>
      <c r="I13" s="15" t="n">
        <v>28</v>
      </c>
      <c r="J13" s="15" t="n">
        <v>115.3</v>
      </c>
      <c r="K13" s="15" t="n">
        <v>1741.5</v>
      </c>
      <c r="L13" s="15" t="n">
        <v>1403</v>
      </c>
    </row>
    <row r="14" customFormat="false" ht="15" hidden="false" customHeight="false" outlineLevel="0" collapsed="false">
      <c r="A14" s="15" t="s">
        <v>39</v>
      </c>
      <c r="B14" s="15"/>
      <c r="C14" s="15" t="s">
        <v>150</v>
      </c>
      <c r="D14" s="15" t="s">
        <v>40</v>
      </c>
      <c r="E14" s="15" t="s">
        <v>20</v>
      </c>
      <c r="F14" s="15" t="s">
        <v>21</v>
      </c>
      <c r="G14" s="15" t="n">
        <v>10</v>
      </c>
      <c r="H14" s="15" t="n">
        <v>25</v>
      </c>
      <c r="I14" s="15" t="n">
        <v>28</v>
      </c>
      <c r="J14" s="15" t="n">
        <v>16.8</v>
      </c>
      <c r="K14" s="15" t="n">
        <v>1796.7</v>
      </c>
      <c r="L14" s="15" t="n">
        <v>1407.5</v>
      </c>
    </row>
    <row r="15" customFormat="false" ht="15" hidden="false" customHeight="false" outlineLevel="0" collapsed="false">
      <c r="A15" s="15" t="s">
        <v>41</v>
      </c>
      <c r="B15" s="15"/>
      <c r="C15" s="15" t="s">
        <v>150</v>
      </c>
      <c r="D15" s="15" t="s">
        <v>42</v>
      </c>
      <c r="E15" s="15" t="s">
        <v>20</v>
      </c>
      <c r="F15" s="15" t="s">
        <v>21</v>
      </c>
      <c r="G15" s="15" t="n">
        <v>114</v>
      </c>
      <c r="H15" s="15" t="n">
        <v>74</v>
      </c>
      <c r="I15" s="15" t="n">
        <v>30</v>
      </c>
      <c r="J15" s="15" t="n">
        <v>607.4</v>
      </c>
      <c r="K15" s="15" t="n">
        <v>1650.2</v>
      </c>
      <c r="L15" s="15" t="n">
        <v>3597.5</v>
      </c>
    </row>
    <row r="16" customFormat="false" ht="15" hidden="false" customHeight="false" outlineLevel="0" collapsed="false">
      <c r="A16" s="15" t="s">
        <v>43</v>
      </c>
      <c r="B16" s="15"/>
      <c r="C16" s="15" t="s">
        <v>150</v>
      </c>
      <c r="D16" s="15" t="s">
        <v>44</v>
      </c>
      <c r="E16" s="15" t="s">
        <v>20</v>
      </c>
      <c r="F16" s="15" t="s">
        <v>21</v>
      </c>
      <c r="G16" s="15" t="n">
        <v>90</v>
      </c>
      <c r="H16" s="15" t="n">
        <v>139</v>
      </c>
      <c r="I16" s="15" t="n">
        <v>30</v>
      </c>
      <c r="J16" s="15" t="n">
        <v>900.7</v>
      </c>
      <c r="K16" s="15" t="n">
        <v>1571.3</v>
      </c>
      <c r="L16" s="15" t="n">
        <v>3597.4</v>
      </c>
    </row>
    <row r="17" customFormat="false" ht="15" hidden="false" customHeight="false" outlineLevel="0" collapsed="false">
      <c r="A17" s="15" t="s">
        <v>45</v>
      </c>
      <c r="B17" s="15"/>
      <c r="C17" s="15" t="s">
        <v>150</v>
      </c>
      <c r="D17" s="15" t="s">
        <v>46</v>
      </c>
      <c r="E17" s="15" t="s">
        <v>20</v>
      </c>
      <c r="F17" s="15" t="s">
        <v>21</v>
      </c>
      <c r="G17" s="15" t="n">
        <v>15</v>
      </c>
      <c r="H17" s="15" t="n">
        <v>120</v>
      </c>
      <c r="I17" s="15" t="n">
        <v>30</v>
      </c>
      <c r="J17" s="15" t="n">
        <v>129.6</v>
      </c>
      <c r="K17" s="15" t="n">
        <v>1504.8</v>
      </c>
      <c r="L17" s="15" t="n">
        <v>3649.5</v>
      </c>
    </row>
    <row r="18" customFormat="false" ht="15" hidden="false" customHeight="false" outlineLevel="0" collapsed="false">
      <c r="A18" s="15" t="s">
        <v>47</v>
      </c>
      <c r="B18" s="15"/>
      <c r="C18" s="15" t="s">
        <v>150</v>
      </c>
      <c r="D18" s="15" t="s">
        <v>48</v>
      </c>
      <c r="E18" s="15" t="s">
        <v>20</v>
      </c>
      <c r="F18" s="15" t="s">
        <v>21</v>
      </c>
      <c r="G18" s="15" t="n">
        <v>20</v>
      </c>
      <c r="H18" s="15" t="n">
        <v>135</v>
      </c>
      <c r="I18" s="15" t="n">
        <v>30</v>
      </c>
      <c r="J18" s="15" t="n">
        <v>194.4</v>
      </c>
      <c r="K18" s="15" t="n">
        <v>1763.8</v>
      </c>
      <c r="L18" s="15" t="n">
        <v>3571.4</v>
      </c>
    </row>
    <row r="19" customFormat="false" ht="15" hidden="false" customHeight="false" outlineLevel="0" collapsed="false">
      <c r="A19" s="15" t="s">
        <v>49</v>
      </c>
      <c r="B19" s="15"/>
      <c r="C19" s="15" t="s">
        <v>150</v>
      </c>
      <c r="D19" s="15" t="s">
        <v>50</v>
      </c>
      <c r="E19" s="15" t="s">
        <v>20</v>
      </c>
      <c r="F19" s="15" t="s">
        <v>21</v>
      </c>
      <c r="G19" s="15" t="n">
        <v>100</v>
      </c>
      <c r="H19" s="15" t="n">
        <v>6</v>
      </c>
      <c r="I19" s="15" t="n">
        <v>30</v>
      </c>
      <c r="J19" s="15" t="n">
        <v>43.2</v>
      </c>
      <c r="K19" s="15" t="n">
        <v>1747.1</v>
      </c>
      <c r="L19" s="15" t="n">
        <v>3706.1</v>
      </c>
    </row>
    <row r="20" customFormat="false" ht="15" hidden="false" customHeight="false" outlineLevel="0" collapsed="false">
      <c r="A20" s="15" t="s">
        <v>124</v>
      </c>
      <c r="B20" s="15"/>
      <c r="C20" s="15" t="s">
        <v>150</v>
      </c>
      <c r="D20" s="15" t="s">
        <v>126</v>
      </c>
      <c r="E20" s="15" t="s">
        <v>20</v>
      </c>
      <c r="F20" s="15" t="s">
        <v>21</v>
      </c>
      <c r="G20" s="15" t="n">
        <v>35</v>
      </c>
      <c r="H20" s="15" t="n">
        <v>65</v>
      </c>
      <c r="I20" s="15" t="n">
        <v>25</v>
      </c>
      <c r="J20" s="15" t="n">
        <v>136.5</v>
      </c>
      <c r="K20" s="15" t="n">
        <v>888.2</v>
      </c>
      <c r="L20" s="15" t="n">
        <v>1519.3</v>
      </c>
    </row>
    <row r="21" customFormat="false" ht="15" hidden="false" customHeight="false" outlineLevel="0" collapsed="false">
      <c r="A21" s="15" t="s">
        <v>127</v>
      </c>
      <c r="B21" s="15"/>
      <c r="C21" s="15" t="s">
        <v>150</v>
      </c>
      <c r="D21" s="15" t="s">
        <v>25</v>
      </c>
      <c r="E21" s="15" t="s">
        <v>20</v>
      </c>
      <c r="F21" s="15" t="s">
        <v>21</v>
      </c>
      <c r="G21" s="15" t="n">
        <v>20</v>
      </c>
      <c r="H21" s="15" t="n">
        <v>50</v>
      </c>
      <c r="I21" s="15" t="n">
        <v>25</v>
      </c>
      <c r="J21" s="15" t="n">
        <v>60</v>
      </c>
      <c r="K21" s="15" t="n">
        <v>614</v>
      </c>
      <c r="L21" s="15" t="n">
        <v>1399.9</v>
      </c>
    </row>
    <row r="22" customFormat="false" ht="15" hidden="false" customHeight="false" outlineLevel="0" collapsed="false">
      <c r="A22" s="15" t="s">
        <v>51</v>
      </c>
      <c r="B22" s="15"/>
      <c r="C22" s="15" t="s">
        <v>151</v>
      </c>
      <c r="D22" s="15" t="s">
        <v>53</v>
      </c>
      <c r="E22" s="15" t="s">
        <v>20</v>
      </c>
      <c r="F22" s="15" t="s">
        <v>21</v>
      </c>
      <c r="G22" s="15" t="n">
        <v>25</v>
      </c>
      <c r="H22" s="15" t="n">
        <v>40</v>
      </c>
      <c r="I22" s="15" t="n">
        <v>30</v>
      </c>
      <c r="J22" s="15" t="n">
        <v>72</v>
      </c>
      <c r="K22" s="15" t="n">
        <v>1308.5</v>
      </c>
      <c r="L22" s="15" t="n">
        <v>3353.1</v>
      </c>
    </row>
    <row r="23" customFormat="false" ht="15" hidden="false" customHeight="false" outlineLevel="0" collapsed="false">
      <c r="A23" s="15" t="s">
        <v>54</v>
      </c>
      <c r="B23" s="15"/>
      <c r="C23" s="15" t="s">
        <v>151</v>
      </c>
      <c r="D23" s="15" t="s">
        <v>53</v>
      </c>
      <c r="E23" s="15" t="s">
        <v>20</v>
      </c>
      <c r="F23" s="15" t="s">
        <v>21</v>
      </c>
      <c r="G23" s="15" t="n">
        <v>25</v>
      </c>
      <c r="H23" s="15" t="n">
        <v>40</v>
      </c>
      <c r="I23" s="15" t="n">
        <v>30</v>
      </c>
      <c r="J23" s="15" t="n">
        <v>72</v>
      </c>
      <c r="K23" s="15" t="n">
        <v>1276.5</v>
      </c>
      <c r="L23" s="15" t="n">
        <v>3445.8</v>
      </c>
    </row>
    <row r="24" customFormat="false" ht="15" hidden="false" customHeight="false" outlineLevel="0" collapsed="false">
      <c r="A24" s="15" t="s">
        <v>55</v>
      </c>
      <c r="B24" s="15"/>
      <c r="C24" s="15" t="s">
        <v>151</v>
      </c>
      <c r="D24" s="15" t="s">
        <v>53</v>
      </c>
      <c r="E24" s="15" t="s">
        <v>20</v>
      </c>
      <c r="F24" s="15" t="s">
        <v>21</v>
      </c>
      <c r="G24" s="15" t="n">
        <v>25</v>
      </c>
      <c r="H24" s="15" t="n">
        <v>40</v>
      </c>
      <c r="I24" s="15" t="n">
        <v>30</v>
      </c>
      <c r="J24" s="15" t="n">
        <v>72</v>
      </c>
      <c r="K24" s="15" t="n">
        <v>1266.9</v>
      </c>
      <c r="L24" s="15" t="n">
        <v>2104</v>
      </c>
    </row>
    <row r="25" customFormat="false" ht="15" hidden="false" customHeight="false" outlineLevel="0" collapsed="false">
      <c r="A25" s="15" t="s">
        <v>56</v>
      </c>
      <c r="B25" s="15"/>
      <c r="C25" s="15" t="s">
        <v>151</v>
      </c>
      <c r="D25" s="15" t="s">
        <v>53</v>
      </c>
      <c r="E25" s="15" t="s">
        <v>20</v>
      </c>
      <c r="F25" s="15" t="s">
        <v>21</v>
      </c>
      <c r="G25" s="15" t="n">
        <v>25</v>
      </c>
      <c r="H25" s="15" t="n">
        <v>40</v>
      </c>
      <c r="I25" s="15" t="n">
        <v>30</v>
      </c>
      <c r="J25" s="15" t="n">
        <v>72</v>
      </c>
      <c r="K25" s="15" t="n">
        <v>1266.9</v>
      </c>
      <c r="L25" s="15" t="n">
        <v>1992.7</v>
      </c>
    </row>
    <row r="26" customFormat="false" ht="15" hidden="false" customHeight="false" outlineLevel="0" collapsed="false">
      <c r="A26" s="15" t="s">
        <v>57</v>
      </c>
      <c r="B26" s="15"/>
      <c r="C26" s="15" t="s">
        <v>151</v>
      </c>
      <c r="D26" s="15" t="s">
        <v>58</v>
      </c>
      <c r="E26" s="15" t="s">
        <v>20</v>
      </c>
      <c r="F26" s="15" t="s">
        <v>21</v>
      </c>
      <c r="G26" s="15" t="n">
        <v>434</v>
      </c>
      <c r="H26" s="15" t="n">
        <v>184</v>
      </c>
      <c r="I26" s="15" t="n">
        <v>30</v>
      </c>
      <c r="J26" s="15" t="n">
        <v>5749.6</v>
      </c>
      <c r="K26" s="15" t="n">
        <v>1785</v>
      </c>
      <c r="L26" s="15" t="n">
        <v>1725.1</v>
      </c>
    </row>
    <row r="27" customFormat="false" ht="15" hidden="false" customHeight="false" outlineLevel="0" collapsed="false">
      <c r="A27" s="15" t="s">
        <v>59</v>
      </c>
      <c r="B27" s="15"/>
      <c r="C27" s="15" t="s">
        <v>151</v>
      </c>
      <c r="D27" s="15" t="s">
        <v>60</v>
      </c>
      <c r="E27" s="15" t="s">
        <v>20</v>
      </c>
      <c r="F27" s="15" t="s">
        <v>21</v>
      </c>
      <c r="G27" s="15" t="n">
        <v>250</v>
      </c>
      <c r="H27" s="15" t="n">
        <v>20</v>
      </c>
      <c r="I27" s="15" t="n">
        <v>28</v>
      </c>
      <c r="J27" s="15" t="n">
        <v>336</v>
      </c>
      <c r="K27" s="15" t="n">
        <v>1665.2</v>
      </c>
      <c r="L27" s="15" t="n">
        <v>3721.6</v>
      </c>
    </row>
    <row r="28" customFormat="false" ht="15" hidden="false" customHeight="false" outlineLevel="0" collapsed="false">
      <c r="A28" s="15" t="s">
        <v>61</v>
      </c>
      <c r="B28" s="15"/>
      <c r="C28" s="15" t="s">
        <v>151</v>
      </c>
      <c r="D28" s="15" t="s">
        <v>62</v>
      </c>
      <c r="E28" s="15" t="s">
        <v>20</v>
      </c>
      <c r="F28" s="15" t="s">
        <v>21</v>
      </c>
      <c r="G28" s="15" t="n">
        <v>55</v>
      </c>
      <c r="H28" s="15" t="n">
        <v>25</v>
      </c>
      <c r="I28" s="15" t="n">
        <v>28</v>
      </c>
      <c r="J28" s="15" t="n">
        <v>92.4</v>
      </c>
      <c r="K28" s="15" t="n">
        <v>1651.1</v>
      </c>
      <c r="L28" s="15" t="n">
        <v>3857.6</v>
      </c>
    </row>
    <row r="29" customFormat="false" ht="15" hidden="false" customHeight="false" outlineLevel="0" collapsed="false">
      <c r="A29" s="15" t="s">
        <v>63</v>
      </c>
      <c r="B29" s="15"/>
      <c r="C29" s="15" t="s">
        <v>151</v>
      </c>
      <c r="D29" s="15" t="s">
        <v>64</v>
      </c>
      <c r="E29" s="15" t="s">
        <v>20</v>
      </c>
      <c r="F29" s="15" t="s">
        <v>21</v>
      </c>
      <c r="G29" s="15" t="n">
        <v>55</v>
      </c>
      <c r="H29" s="15" t="n">
        <v>100</v>
      </c>
      <c r="I29" s="15" t="n">
        <v>30</v>
      </c>
      <c r="J29" s="15" t="n">
        <v>396</v>
      </c>
      <c r="K29" s="15" t="n">
        <v>391.8</v>
      </c>
      <c r="L29" s="15" t="n">
        <v>3848</v>
      </c>
    </row>
    <row r="30" customFormat="false" ht="15" hidden="false" customHeight="false" outlineLevel="0" collapsed="false">
      <c r="A30" s="15" t="s">
        <v>65</v>
      </c>
      <c r="B30" s="15"/>
      <c r="C30" s="15" t="s">
        <v>151</v>
      </c>
      <c r="D30" s="15" t="s">
        <v>66</v>
      </c>
      <c r="E30" s="15" t="s">
        <v>20</v>
      </c>
      <c r="F30" s="15" t="s">
        <v>21</v>
      </c>
      <c r="G30" s="15" t="n">
        <v>85</v>
      </c>
      <c r="H30" s="15" t="n">
        <v>100</v>
      </c>
      <c r="I30" s="15" t="n">
        <v>30</v>
      </c>
      <c r="J30" s="15" t="n">
        <v>612</v>
      </c>
      <c r="K30" s="15" t="n">
        <v>509.4</v>
      </c>
      <c r="L30" s="15" t="n">
        <v>3848</v>
      </c>
    </row>
    <row r="31" customFormat="false" ht="15" hidden="false" customHeight="false" outlineLevel="0" collapsed="false">
      <c r="A31" s="15" t="s">
        <v>67</v>
      </c>
      <c r="B31" s="15"/>
      <c r="C31" s="15" t="s">
        <v>151</v>
      </c>
      <c r="D31" s="15" t="s">
        <v>68</v>
      </c>
      <c r="E31" s="15" t="s">
        <v>20</v>
      </c>
      <c r="F31" s="15" t="s">
        <v>21</v>
      </c>
      <c r="G31" s="15" t="n">
        <v>130</v>
      </c>
      <c r="H31" s="15" t="n">
        <v>140</v>
      </c>
      <c r="I31" s="15" t="n">
        <v>30</v>
      </c>
      <c r="J31" s="15" t="n">
        <v>1310.4</v>
      </c>
      <c r="K31" s="15" t="n">
        <v>571.9</v>
      </c>
      <c r="L31" s="15" t="n">
        <v>3827.8</v>
      </c>
    </row>
    <row r="32" customFormat="false" ht="15" hidden="false" customHeight="false" outlineLevel="0" collapsed="false">
      <c r="A32" s="15" t="s">
        <v>69</v>
      </c>
      <c r="B32" s="15"/>
      <c r="C32" s="15" t="s">
        <v>151</v>
      </c>
      <c r="D32" s="15" t="s">
        <v>70</v>
      </c>
      <c r="E32" s="15" t="s">
        <v>20</v>
      </c>
      <c r="F32" s="15" t="s">
        <v>21</v>
      </c>
      <c r="G32" s="15" t="n">
        <v>100</v>
      </c>
      <c r="H32" s="15" t="n">
        <v>270</v>
      </c>
      <c r="I32" s="15" t="n">
        <v>30</v>
      </c>
      <c r="J32" s="15" t="n">
        <v>1944</v>
      </c>
      <c r="K32" s="15" t="n">
        <v>731.6</v>
      </c>
      <c r="L32" s="15" t="n">
        <v>3835.6</v>
      </c>
    </row>
    <row r="33" customFormat="false" ht="15" hidden="false" customHeight="false" outlineLevel="0" collapsed="false">
      <c r="A33" s="15" t="s">
        <v>71</v>
      </c>
      <c r="B33" s="15"/>
      <c r="C33" s="15" t="s">
        <v>151</v>
      </c>
      <c r="D33" s="15" t="s">
        <v>62</v>
      </c>
      <c r="E33" s="15" t="s">
        <v>20</v>
      </c>
      <c r="F33" s="15" t="s">
        <v>21</v>
      </c>
      <c r="G33" s="15" t="n">
        <v>55</v>
      </c>
      <c r="H33" s="15" t="n">
        <v>25</v>
      </c>
      <c r="I33" s="15" t="n">
        <v>30</v>
      </c>
      <c r="J33" s="15" t="n">
        <v>99</v>
      </c>
      <c r="K33" s="15" t="n">
        <v>704.2</v>
      </c>
      <c r="L33" s="15" t="n">
        <v>3904.4</v>
      </c>
    </row>
    <row r="34" customFormat="false" ht="15" hidden="false" customHeight="false" outlineLevel="0" collapsed="false">
      <c r="A34" s="15" t="s">
        <v>72</v>
      </c>
      <c r="B34" s="15"/>
      <c r="C34" s="15" t="s">
        <v>151</v>
      </c>
      <c r="D34" s="15" t="s">
        <v>73</v>
      </c>
      <c r="E34" s="15" t="s">
        <v>20</v>
      </c>
      <c r="F34" s="15" t="s">
        <v>21</v>
      </c>
      <c r="G34" s="15" t="n">
        <v>84</v>
      </c>
      <c r="H34" s="15" t="n">
        <v>94</v>
      </c>
      <c r="I34" s="15" t="n">
        <v>25</v>
      </c>
      <c r="J34" s="15" t="n">
        <v>473.8</v>
      </c>
      <c r="K34" s="15" t="n">
        <v>379.7</v>
      </c>
      <c r="L34" s="15" t="n">
        <v>1657.3</v>
      </c>
    </row>
    <row r="35" customFormat="false" ht="15" hidden="false" customHeight="false" outlineLevel="0" collapsed="false">
      <c r="A35" s="15" t="s">
        <v>74</v>
      </c>
      <c r="B35" s="15"/>
      <c r="C35" s="15" t="s">
        <v>151</v>
      </c>
      <c r="D35" s="15" t="s">
        <v>75</v>
      </c>
      <c r="E35" s="15" t="s">
        <v>20</v>
      </c>
      <c r="F35" s="15" t="s">
        <v>21</v>
      </c>
      <c r="G35" s="15" t="n">
        <v>64</v>
      </c>
      <c r="H35" s="15" t="n">
        <v>114</v>
      </c>
      <c r="I35" s="15" t="n">
        <v>25</v>
      </c>
      <c r="J35" s="15" t="n">
        <v>437.8</v>
      </c>
      <c r="K35" s="15" t="n">
        <v>434.2</v>
      </c>
      <c r="L35" s="15" t="n">
        <v>1645.1</v>
      </c>
    </row>
    <row r="36" customFormat="false" ht="15" hidden="false" customHeight="false" outlineLevel="0" collapsed="false">
      <c r="A36" s="15" t="s">
        <v>76</v>
      </c>
      <c r="B36" s="15"/>
      <c r="C36" s="15" t="s">
        <v>151</v>
      </c>
      <c r="D36" s="15" t="s">
        <v>77</v>
      </c>
      <c r="E36" s="15" t="s">
        <v>20</v>
      </c>
      <c r="F36" s="15" t="s">
        <v>21</v>
      </c>
      <c r="G36" s="15" t="n">
        <v>160</v>
      </c>
      <c r="H36" s="15" t="n">
        <v>30</v>
      </c>
      <c r="I36" s="15" t="n">
        <v>28</v>
      </c>
      <c r="J36" s="15" t="n">
        <v>322.6</v>
      </c>
      <c r="K36" s="15" t="n">
        <v>336.6</v>
      </c>
      <c r="L36" s="15" t="n">
        <v>1808.7</v>
      </c>
    </row>
    <row r="37" customFormat="false" ht="15" hidden="false" customHeight="false" outlineLevel="0" collapsed="false">
      <c r="A37" s="15" t="s">
        <v>78</v>
      </c>
      <c r="B37" s="15"/>
      <c r="C37" s="15" t="s">
        <v>151</v>
      </c>
      <c r="D37" s="15" t="s">
        <v>79</v>
      </c>
      <c r="E37" s="15" t="s">
        <v>20</v>
      </c>
      <c r="F37" s="15" t="s">
        <v>80</v>
      </c>
      <c r="G37" s="15" t="n">
        <v>54</v>
      </c>
      <c r="H37" s="15" t="n">
        <v>54</v>
      </c>
      <c r="I37" s="15" t="n">
        <v>28</v>
      </c>
      <c r="J37" s="15" t="n">
        <v>153.9</v>
      </c>
      <c r="K37" s="15" t="n">
        <v>372.3</v>
      </c>
      <c r="L37" s="15" t="n">
        <v>1856.9</v>
      </c>
    </row>
    <row r="38" customFormat="false" ht="15" hidden="false" customHeight="false" outlineLevel="0" collapsed="false">
      <c r="A38" s="15" t="s">
        <v>81</v>
      </c>
      <c r="B38" s="15"/>
      <c r="C38" s="15" t="s">
        <v>151</v>
      </c>
      <c r="D38" s="15" t="s">
        <v>82</v>
      </c>
      <c r="E38" s="15" t="s">
        <v>20</v>
      </c>
      <c r="F38" s="15" t="s">
        <v>21</v>
      </c>
      <c r="G38" s="15" t="n">
        <v>154</v>
      </c>
      <c r="H38" s="15" t="n">
        <v>94</v>
      </c>
      <c r="I38" s="15" t="n">
        <v>28</v>
      </c>
      <c r="J38" s="15" t="n">
        <v>972.8</v>
      </c>
      <c r="K38" s="15" t="n">
        <v>431.5</v>
      </c>
      <c r="L38" s="15" t="n">
        <v>1826.9</v>
      </c>
    </row>
    <row r="39" customFormat="false" ht="15" hidden="false" customHeight="false" outlineLevel="0" collapsed="false">
      <c r="A39" s="15" t="s">
        <v>83</v>
      </c>
      <c r="B39" s="15"/>
      <c r="C39" s="15" t="s">
        <v>151</v>
      </c>
      <c r="D39" s="15" t="s">
        <v>84</v>
      </c>
      <c r="E39" s="15" t="s">
        <v>20</v>
      </c>
      <c r="F39" s="15" t="s">
        <v>21</v>
      </c>
      <c r="G39" s="15" t="n">
        <v>35</v>
      </c>
      <c r="H39" s="15" t="n">
        <v>10</v>
      </c>
      <c r="I39" s="15" t="n">
        <v>28</v>
      </c>
      <c r="J39" s="15" t="n">
        <v>23.5</v>
      </c>
      <c r="K39" s="15" t="n">
        <v>366.2</v>
      </c>
      <c r="L39" s="15" t="n">
        <v>1952</v>
      </c>
    </row>
    <row r="40" customFormat="false" ht="15" hidden="false" customHeight="false" outlineLevel="0" collapsed="false">
      <c r="A40" s="15" t="s">
        <v>104</v>
      </c>
      <c r="B40" s="15"/>
      <c r="C40" s="15" t="s">
        <v>151</v>
      </c>
      <c r="D40" s="15" t="s">
        <v>25</v>
      </c>
      <c r="E40" s="15" t="s">
        <v>20</v>
      </c>
      <c r="F40" s="15" t="s">
        <v>21</v>
      </c>
      <c r="G40" s="15" t="n">
        <v>20</v>
      </c>
      <c r="H40" s="15" t="n">
        <v>50</v>
      </c>
      <c r="I40" s="15" t="n">
        <v>30</v>
      </c>
      <c r="J40" s="15" t="n">
        <v>72</v>
      </c>
      <c r="K40" s="15" t="n">
        <v>403.1</v>
      </c>
      <c r="L40" s="15" t="n">
        <v>4140</v>
      </c>
    </row>
    <row r="41" customFormat="false" ht="15" hidden="false" customHeight="false" outlineLevel="0" collapsed="false">
      <c r="A41" s="15" t="s">
        <v>109</v>
      </c>
      <c r="B41" s="15"/>
      <c r="C41" s="15" t="s">
        <v>151</v>
      </c>
      <c r="D41" s="15" t="s">
        <v>110</v>
      </c>
      <c r="E41" s="15" t="s">
        <v>20</v>
      </c>
      <c r="F41" s="15" t="s">
        <v>21</v>
      </c>
      <c r="G41" s="15" t="n">
        <v>25</v>
      </c>
      <c r="H41" s="15" t="n">
        <v>100</v>
      </c>
      <c r="I41" s="15" t="n">
        <v>30</v>
      </c>
      <c r="J41" s="15" t="n">
        <v>180</v>
      </c>
      <c r="K41" s="15" t="n">
        <v>391.8</v>
      </c>
      <c r="L41" s="15" t="n">
        <v>3917.7</v>
      </c>
    </row>
    <row r="42" customFormat="false" ht="15" hidden="false" customHeight="false" outlineLevel="0" collapsed="false">
      <c r="A42" s="15" t="s">
        <v>85</v>
      </c>
      <c r="B42" s="15"/>
      <c r="C42" s="15" t="s">
        <v>152</v>
      </c>
      <c r="D42" s="15" t="s">
        <v>19</v>
      </c>
      <c r="E42" s="15" t="s">
        <v>20</v>
      </c>
      <c r="F42" s="15" t="s">
        <v>21</v>
      </c>
      <c r="G42" s="15" t="n">
        <v>60</v>
      </c>
      <c r="H42" s="15" t="n">
        <v>45</v>
      </c>
      <c r="I42" s="15" t="n">
        <v>30</v>
      </c>
      <c r="J42" s="15" t="n">
        <v>194.4</v>
      </c>
      <c r="K42" s="15" t="n">
        <v>586.6</v>
      </c>
      <c r="L42" s="15" t="n">
        <v>1608.3</v>
      </c>
    </row>
    <row r="43" customFormat="false" ht="15" hidden="false" customHeight="false" outlineLevel="0" collapsed="false">
      <c r="A43" s="15" t="s">
        <v>87</v>
      </c>
      <c r="B43" s="15"/>
      <c r="C43" s="15" t="s">
        <v>152</v>
      </c>
      <c r="D43" s="15" t="s">
        <v>88</v>
      </c>
      <c r="E43" s="15" t="s">
        <v>20</v>
      </c>
      <c r="F43" s="15" t="s">
        <v>21</v>
      </c>
      <c r="G43" s="15" t="n">
        <v>50</v>
      </c>
      <c r="H43" s="15" t="n">
        <v>20</v>
      </c>
      <c r="I43" s="15" t="n">
        <v>30</v>
      </c>
      <c r="J43" s="15" t="n">
        <v>72</v>
      </c>
      <c r="K43" s="15" t="n">
        <v>975.5</v>
      </c>
      <c r="L43" s="15" t="n">
        <v>2898</v>
      </c>
    </row>
    <row r="44" customFormat="false" ht="15" hidden="false" customHeight="false" outlineLevel="0" collapsed="false">
      <c r="A44" s="15" t="s">
        <v>89</v>
      </c>
      <c r="B44" s="15"/>
      <c r="C44" s="15" t="s">
        <v>152</v>
      </c>
      <c r="D44" s="15" t="s">
        <v>25</v>
      </c>
      <c r="E44" s="15" t="s">
        <v>20</v>
      </c>
      <c r="F44" s="15" t="s">
        <v>21</v>
      </c>
      <c r="G44" s="15" t="n">
        <v>20</v>
      </c>
      <c r="H44" s="15" t="n">
        <v>50</v>
      </c>
      <c r="I44" s="15" t="n">
        <v>30</v>
      </c>
      <c r="J44" s="15" t="n">
        <v>72</v>
      </c>
      <c r="K44" s="15" t="n">
        <v>958.7</v>
      </c>
      <c r="L44" s="15" t="n">
        <v>2898</v>
      </c>
    </row>
    <row r="45" customFormat="false" ht="15" hidden="false" customHeight="false" outlineLevel="0" collapsed="false">
      <c r="A45" s="15" t="s">
        <v>90</v>
      </c>
      <c r="B45" s="15"/>
      <c r="C45" s="15" t="s">
        <v>152</v>
      </c>
      <c r="D45" s="15" t="s">
        <v>25</v>
      </c>
      <c r="E45" s="15" t="s">
        <v>20</v>
      </c>
      <c r="F45" s="15" t="s">
        <v>21</v>
      </c>
      <c r="G45" s="15" t="n">
        <v>20</v>
      </c>
      <c r="H45" s="15" t="n">
        <v>50</v>
      </c>
      <c r="I45" s="15" t="n">
        <v>30</v>
      </c>
      <c r="J45" s="15" t="n">
        <v>72</v>
      </c>
      <c r="K45" s="15" t="n">
        <v>790.1</v>
      </c>
      <c r="L45" s="15" t="n">
        <v>2907</v>
      </c>
    </row>
    <row r="46" customFormat="false" ht="15" hidden="false" customHeight="false" outlineLevel="0" collapsed="false">
      <c r="A46" s="15" t="s">
        <v>91</v>
      </c>
      <c r="B46" s="15"/>
      <c r="C46" s="15" t="s">
        <v>152</v>
      </c>
      <c r="D46" s="15" t="s">
        <v>25</v>
      </c>
      <c r="E46" s="15" t="s">
        <v>20</v>
      </c>
      <c r="F46" s="15" t="s">
        <v>21</v>
      </c>
      <c r="G46" s="15" t="n">
        <v>20</v>
      </c>
      <c r="H46" s="15" t="n">
        <v>50</v>
      </c>
      <c r="I46" s="15" t="n">
        <v>30</v>
      </c>
      <c r="J46" s="15" t="n">
        <v>72</v>
      </c>
      <c r="K46" s="15" t="n">
        <v>1146.7</v>
      </c>
      <c r="L46" s="15" t="n">
        <v>1507.5</v>
      </c>
    </row>
    <row r="47" customFormat="false" ht="15" hidden="false" customHeight="false" outlineLevel="0" collapsed="false">
      <c r="A47" s="15" t="s">
        <v>92</v>
      </c>
      <c r="B47" s="15"/>
      <c r="C47" s="15" t="s">
        <v>152</v>
      </c>
      <c r="D47" s="15" t="s">
        <v>27</v>
      </c>
      <c r="E47" s="15" t="s">
        <v>20</v>
      </c>
      <c r="F47" s="15" t="s">
        <v>21</v>
      </c>
      <c r="G47" s="15" t="n">
        <v>20</v>
      </c>
      <c r="H47" s="15" t="n">
        <v>60</v>
      </c>
      <c r="I47" s="15" t="n">
        <v>30</v>
      </c>
      <c r="J47" s="15" t="n">
        <v>86.4</v>
      </c>
      <c r="K47" s="15" t="n">
        <v>1117.7</v>
      </c>
      <c r="L47" s="15" t="n">
        <v>1349.3</v>
      </c>
    </row>
    <row r="48" customFormat="false" ht="15" hidden="false" customHeight="false" outlineLevel="0" collapsed="false">
      <c r="A48" s="15" t="s">
        <v>93</v>
      </c>
      <c r="B48" s="15"/>
      <c r="C48" s="15" t="s">
        <v>152</v>
      </c>
      <c r="D48" s="15" t="s">
        <v>44</v>
      </c>
      <c r="E48" s="15" t="s">
        <v>20</v>
      </c>
      <c r="F48" s="15" t="s">
        <v>21</v>
      </c>
      <c r="G48" s="15" t="n">
        <v>90</v>
      </c>
      <c r="H48" s="15" t="n">
        <v>139</v>
      </c>
      <c r="I48" s="15" t="n">
        <v>30</v>
      </c>
      <c r="J48" s="15" t="n">
        <v>900.7</v>
      </c>
      <c r="K48" s="15" t="n">
        <v>1463.6</v>
      </c>
      <c r="L48" s="15" t="n">
        <v>1896.6</v>
      </c>
    </row>
    <row r="49" customFormat="false" ht="15" hidden="false" customHeight="false" outlineLevel="0" collapsed="false">
      <c r="A49" s="15" t="s">
        <v>94</v>
      </c>
      <c r="B49" s="15"/>
      <c r="C49" s="15" t="s">
        <v>152</v>
      </c>
      <c r="D49" s="15" t="s">
        <v>42</v>
      </c>
      <c r="E49" s="15" t="s">
        <v>20</v>
      </c>
      <c r="F49" s="15" t="s">
        <v>21</v>
      </c>
      <c r="G49" s="15" t="n">
        <v>114</v>
      </c>
      <c r="H49" s="15" t="n">
        <v>74</v>
      </c>
      <c r="I49" s="15" t="n">
        <v>30</v>
      </c>
      <c r="J49" s="15" t="n">
        <v>607.4</v>
      </c>
      <c r="K49" s="15" t="n">
        <v>1531.5</v>
      </c>
      <c r="L49" s="15" t="n">
        <v>1923.4</v>
      </c>
    </row>
    <row r="50" customFormat="false" ht="15" hidden="false" customHeight="false" outlineLevel="0" collapsed="false">
      <c r="A50" s="15" t="s">
        <v>95</v>
      </c>
      <c r="B50" s="15"/>
      <c r="C50" s="15" t="s">
        <v>152</v>
      </c>
      <c r="D50" s="15" t="s">
        <v>46</v>
      </c>
      <c r="E50" s="15" t="s">
        <v>20</v>
      </c>
      <c r="F50" s="15" t="s">
        <v>21</v>
      </c>
      <c r="G50" s="15" t="n">
        <v>15</v>
      </c>
      <c r="H50" s="15" t="n">
        <v>120</v>
      </c>
      <c r="I50" s="15" t="n">
        <v>30</v>
      </c>
      <c r="J50" s="15" t="n">
        <v>129.6</v>
      </c>
      <c r="K50" s="15" t="n">
        <v>1490</v>
      </c>
      <c r="L50" s="15" t="n">
        <v>1951.2</v>
      </c>
    </row>
    <row r="51" customFormat="false" ht="15" hidden="false" customHeight="false" outlineLevel="0" collapsed="false">
      <c r="A51" s="15" t="s">
        <v>96</v>
      </c>
      <c r="B51" s="15"/>
      <c r="C51" s="15" t="s">
        <v>152</v>
      </c>
      <c r="D51" s="15" t="s">
        <v>48</v>
      </c>
      <c r="E51" s="15" t="s">
        <v>20</v>
      </c>
      <c r="F51" s="15" t="s">
        <v>21</v>
      </c>
      <c r="G51" s="15" t="n">
        <v>20</v>
      </c>
      <c r="H51" s="15" t="n">
        <v>135</v>
      </c>
      <c r="I51" s="15" t="n">
        <v>30</v>
      </c>
      <c r="J51" s="15" t="n">
        <v>194.4</v>
      </c>
      <c r="K51" s="15" t="n">
        <v>1663.4</v>
      </c>
      <c r="L51" s="15" t="n">
        <v>1896</v>
      </c>
    </row>
    <row r="52" customFormat="false" ht="15" hidden="false" customHeight="false" outlineLevel="0" collapsed="false">
      <c r="A52" s="15" t="s">
        <v>97</v>
      </c>
      <c r="B52" s="15"/>
      <c r="C52" s="15" t="s">
        <v>152</v>
      </c>
      <c r="D52" s="15" t="s">
        <v>50</v>
      </c>
      <c r="E52" s="15" t="s">
        <v>20</v>
      </c>
      <c r="F52" s="15" t="s">
        <v>21</v>
      </c>
      <c r="G52" s="15" t="n">
        <v>100</v>
      </c>
      <c r="H52" s="15" t="n">
        <v>6</v>
      </c>
      <c r="I52" s="15" t="n">
        <v>30</v>
      </c>
      <c r="J52" s="15" t="n">
        <v>43.2</v>
      </c>
      <c r="K52" s="15" t="n">
        <v>1654.1</v>
      </c>
      <c r="L52" s="15" t="n">
        <v>2030.2</v>
      </c>
    </row>
    <row r="53" customFormat="false" ht="15" hidden="false" customHeight="false" outlineLevel="0" collapsed="false">
      <c r="A53" s="15" t="s">
        <v>98</v>
      </c>
      <c r="B53" s="15"/>
      <c r="C53" s="15" t="s">
        <v>152</v>
      </c>
      <c r="D53" s="15" t="s">
        <v>99</v>
      </c>
      <c r="E53" s="15" t="s">
        <v>20</v>
      </c>
      <c r="F53" s="15" t="s">
        <v>21</v>
      </c>
      <c r="G53" s="15" t="n">
        <v>60</v>
      </c>
      <c r="H53" s="15" t="n">
        <v>30</v>
      </c>
      <c r="I53" s="15" t="n">
        <v>29</v>
      </c>
      <c r="J53" s="15" t="n">
        <v>125.3</v>
      </c>
      <c r="K53" s="15" t="n">
        <v>591.9</v>
      </c>
      <c r="L53" s="15" t="n">
        <v>3270</v>
      </c>
    </row>
    <row r="54" customFormat="false" ht="15" hidden="false" customHeight="false" outlineLevel="0" collapsed="false">
      <c r="A54" s="15" t="s">
        <v>100</v>
      </c>
      <c r="B54" s="15"/>
      <c r="C54" s="15" t="s">
        <v>152</v>
      </c>
      <c r="D54" s="15" t="s">
        <v>101</v>
      </c>
      <c r="E54" s="15" t="s">
        <v>20</v>
      </c>
      <c r="F54" s="15" t="s">
        <v>80</v>
      </c>
      <c r="G54" s="15" t="n">
        <v>60</v>
      </c>
      <c r="H54" s="15" t="n">
        <v>60</v>
      </c>
      <c r="I54" s="15" t="n">
        <v>30</v>
      </c>
      <c r="J54" s="15" t="n">
        <v>203.6</v>
      </c>
      <c r="K54" s="15" t="n">
        <v>591.9</v>
      </c>
      <c r="L54" s="15" t="n">
        <v>3243.4</v>
      </c>
    </row>
    <row r="55" customFormat="false" ht="15" hidden="false" customHeight="false" outlineLevel="0" collapsed="false">
      <c r="A55" s="15" t="s">
        <v>102</v>
      </c>
      <c r="B55" s="15"/>
      <c r="C55" s="15" t="s">
        <v>152</v>
      </c>
      <c r="D55" s="15" t="s">
        <v>103</v>
      </c>
      <c r="E55" s="15" t="s">
        <v>20</v>
      </c>
      <c r="F55" s="15" t="s">
        <v>21</v>
      </c>
      <c r="G55" s="15" t="n">
        <v>15</v>
      </c>
      <c r="H55" s="15" t="n">
        <v>20</v>
      </c>
      <c r="I55" s="15" t="n">
        <v>30</v>
      </c>
      <c r="J55" s="15" t="n">
        <v>21.6</v>
      </c>
      <c r="K55" s="15" t="n">
        <v>1653.6</v>
      </c>
      <c r="L55" s="15" t="n">
        <v>3063.1</v>
      </c>
    </row>
    <row r="56" customFormat="false" ht="15" hidden="false" customHeight="false" outlineLevel="0" collapsed="false">
      <c r="A56" s="15" t="s">
        <v>115</v>
      </c>
      <c r="B56" s="15"/>
      <c r="C56" s="15" t="s">
        <v>152</v>
      </c>
      <c r="D56" s="15" t="s">
        <v>117</v>
      </c>
      <c r="E56" s="15" t="s">
        <v>20</v>
      </c>
      <c r="F56" s="15" t="s">
        <v>21</v>
      </c>
      <c r="G56" s="15" t="n">
        <v>30</v>
      </c>
      <c r="H56" s="15" t="n">
        <v>20</v>
      </c>
      <c r="I56" s="15" t="n">
        <v>30</v>
      </c>
      <c r="J56" s="15" t="n">
        <v>43.2</v>
      </c>
      <c r="K56" s="15" t="n">
        <v>1696</v>
      </c>
      <c r="L56" s="15" t="n">
        <v>2737.8</v>
      </c>
    </row>
    <row r="57" customFormat="false" ht="15" hidden="false" customHeight="false" outlineLevel="0" collapsed="false">
      <c r="A57" s="15" t="s">
        <v>118</v>
      </c>
      <c r="B57" s="15"/>
      <c r="C57" s="15" t="s">
        <v>152</v>
      </c>
      <c r="D57" s="15" t="s">
        <v>119</v>
      </c>
      <c r="E57" s="15" t="s">
        <v>20</v>
      </c>
      <c r="F57" s="15" t="s">
        <v>21</v>
      </c>
      <c r="G57" s="15" t="n">
        <v>20</v>
      </c>
      <c r="H57" s="15" t="n">
        <v>15</v>
      </c>
      <c r="I57" s="15" t="n">
        <v>30</v>
      </c>
      <c r="J57" s="15" t="n">
        <v>21.6</v>
      </c>
      <c r="K57" s="15" t="n">
        <v>1663.9</v>
      </c>
      <c r="L57" s="15" t="n">
        <v>2451.6</v>
      </c>
    </row>
    <row r="58" customFormat="false" ht="15" hidden="false" customHeight="false" outlineLevel="0" collapsed="false">
      <c r="A58" s="15" t="s">
        <v>120</v>
      </c>
      <c r="B58" s="15"/>
      <c r="C58" s="15" t="s">
        <v>152</v>
      </c>
      <c r="D58" s="15" t="s">
        <v>121</v>
      </c>
      <c r="E58" s="15" t="s">
        <v>20</v>
      </c>
      <c r="F58" s="15" t="s">
        <v>80</v>
      </c>
      <c r="G58" s="15" t="n">
        <v>20</v>
      </c>
      <c r="H58" s="15" t="n">
        <v>20</v>
      </c>
      <c r="I58" s="15" t="n">
        <v>30</v>
      </c>
      <c r="J58" s="15" t="n">
        <v>22.6</v>
      </c>
      <c r="K58" s="15" t="n">
        <v>1663.9</v>
      </c>
      <c r="L58" s="15" t="n">
        <v>2351.4</v>
      </c>
    </row>
    <row r="59" customFormat="false" ht="15" hidden="false" customHeight="false" outlineLevel="0" collapsed="false">
      <c r="A59" s="16" t="s">
        <v>104</v>
      </c>
      <c r="B59" s="16" t="s">
        <v>153</v>
      </c>
      <c r="C59" s="16" t="s">
        <v>154</v>
      </c>
      <c r="D59" s="16" t="s">
        <v>25</v>
      </c>
      <c r="E59" s="16" t="s">
        <v>20</v>
      </c>
      <c r="F59" s="16" t="s">
        <v>21</v>
      </c>
      <c r="G59" s="16" t="n">
        <v>20</v>
      </c>
      <c r="H59" s="16" t="n">
        <v>50</v>
      </c>
      <c r="I59" s="16" t="n">
        <v>30</v>
      </c>
      <c r="J59" s="16" t="n">
        <v>72</v>
      </c>
      <c r="K59" s="16" t="n">
        <v>526.7</v>
      </c>
      <c r="L59" s="16" t="n">
        <v>1056.7</v>
      </c>
    </row>
    <row r="60" customFormat="false" ht="15" hidden="false" customHeight="false" outlineLevel="0" collapsed="false">
      <c r="A60" s="15" t="s">
        <v>106</v>
      </c>
      <c r="B60" s="15"/>
      <c r="C60" s="15" t="s">
        <v>154</v>
      </c>
      <c r="D60" s="15" t="s">
        <v>108</v>
      </c>
      <c r="E60" s="15" t="s">
        <v>20</v>
      </c>
      <c r="F60" s="15" t="s">
        <v>21</v>
      </c>
      <c r="G60" s="15" t="n">
        <v>60</v>
      </c>
      <c r="H60" s="15" t="n">
        <v>40</v>
      </c>
      <c r="I60" s="15" t="n">
        <v>28</v>
      </c>
      <c r="J60" s="15" t="n">
        <v>161.3</v>
      </c>
      <c r="K60" s="15" t="n">
        <v>777.7</v>
      </c>
      <c r="L60" s="15" t="n">
        <v>2136.4</v>
      </c>
    </row>
    <row r="61" customFormat="false" ht="15" hidden="false" customHeight="false" outlineLevel="0" collapsed="false">
      <c r="A61" s="16" t="s">
        <v>109</v>
      </c>
      <c r="B61" s="16" t="s">
        <v>153</v>
      </c>
      <c r="C61" s="16" t="s">
        <v>154</v>
      </c>
      <c r="D61" s="16" t="s">
        <v>110</v>
      </c>
      <c r="E61" s="16" t="s">
        <v>20</v>
      </c>
      <c r="F61" s="16" t="s">
        <v>21</v>
      </c>
      <c r="G61" s="16" t="n">
        <v>25</v>
      </c>
      <c r="H61" s="16" t="n">
        <v>100</v>
      </c>
      <c r="I61" s="16" t="n">
        <v>30</v>
      </c>
      <c r="J61" s="16" t="n">
        <v>180</v>
      </c>
      <c r="K61" s="16" t="n">
        <v>515.7</v>
      </c>
      <c r="L61" s="16" t="n">
        <v>837</v>
      </c>
    </row>
    <row r="62" customFormat="false" ht="15" hidden="false" customHeight="false" outlineLevel="0" collapsed="false">
      <c r="A62" s="15" t="s">
        <v>111</v>
      </c>
      <c r="B62" s="15"/>
      <c r="C62" s="15" t="s">
        <v>154</v>
      </c>
      <c r="D62" s="15" t="s">
        <v>62</v>
      </c>
      <c r="E62" s="15" t="s">
        <v>20</v>
      </c>
      <c r="F62" s="15" t="s">
        <v>21</v>
      </c>
      <c r="G62" s="15" t="n">
        <v>55</v>
      </c>
      <c r="H62" s="15" t="n">
        <v>25</v>
      </c>
      <c r="I62" s="15" t="n">
        <v>30</v>
      </c>
      <c r="J62" s="15" t="n">
        <v>99</v>
      </c>
      <c r="K62" s="15" t="n">
        <v>815.6</v>
      </c>
      <c r="L62" s="15" t="n">
        <v>934.7</v>
      </c>
    </row>
    <row r="63" customFormat="false" ht="15" hidden="false" customHeight="false" outlineLevel="0" collapsed="false">
      <c r="A63" s="15" t="s">
        <v>112</v>
      </c>
      <c r="B63" s="15"/>
      <c r="C63" s="15" t="s">
        <v>154</v>
      </c>
      <c r="D63" s="15" t="s">
        <v>68</v>
      </c>
      <c r="E63" s="15" t="s">
        <v>20</v>
      </c>
      <c r="F63" s="15" t="s">
        <v>21</v>
      </c>
      <c r="G63" s="15" t="n">
        <v>130</v>
      </c>
      <c r="H63" s="15" t="n">
        <v>140</v>
      </c>
      <c r="I63" s="15" t="n">
        <v>30</v>
      </c>
      <c r="J63" s="15" t="n">
        <v>1310.4</v>
      </c>
      <c r="K63" s="15" t="n">
        <v>706.2</v>
      </c>
      <c r="L63" s="15" t="n">
        <v>797</v>
      </c>
    </row>
    <row r="64" customFormat="false" ht="15" hidden="false" customHeight="false" outlineLevel="0" collapsed="false">
      <c r="A64" s="15" t="s">
        <v>113</v>
      </c>
      <c r="B64" s="15"/>
      <c r="C64" s="15" t="s">
        <v>154</v>
      </c>
      <c r="D64" s="15" t="s">
        <v>114</v>
      </c>
      <c r="E64" s="15" t="s">
        <v>20</v>
      </c>
      <c r="F64" s="15" t="s">
        <v>21</v>
      </c>
      <c r="G64" s="15" t="n">
        <v>60</v>
      </c>
      <c r="H64" s="15" t="n">
        <v>70</v>
      </c>
      <c r="I64" s="15" t="n">
        <v>28</v>
      </c>
      <c r="J64" s="15" t="n">
        <v>282.2</v>
      </c>
      <c r="K64" s="15" t="n">
        <v>838.7</v>
      </c>
      <c r="L64" s="15" t="n">
        <v>2136.5</v>
      </c>
    </row>
    <row r="65" customFormat="false" ht="15" hidden="false" customHeight="false" outlineLevel="0" collapsed="false">
      <c r="A65" s="16" t="s">
        <v>115</v>
      </c>
      <c r="B65" s="16" t="s">
        <v>153</v>
      </c>
      <c r="C65" s="16" t="s">
        <v>154</v>
      </c>
      <c r="D65" s="16" t="s">
        <v>117</v>
      </c>
      <c r="E65" s="16" t="s">
        <v>20</v>
      </c>
      <c r="F65" s="16" t="s">
        <v>21</v>
      </c>
      <c r="G65" s="16" t="n">
        <v>30</v>
      </c>
      <c r="H65" s="16" t="n">
        <v>20</v>
      </c>
      <c r="I65" s="16" t="n">
        <v>30</v>
      </c>
      <c r="J65" s="16" t="n">
        <v>43.2</v>
      </c>
      <c r="K65" s="16" t="n">
        <v>289</v>
      </c>
      <c r="L65" s="16" t="n">
        <v>1601.5</v>
      </c>
    </row>
    <row r="66" customFormat="false" ht="15" hidden="false" customHeight="false" outlineLevel="0" collapsed="false">
      <c r="A66" s="16" t="s">
        <v>118</v>
      </c>
      <c r="B66" s="16" t="s">
        <v>153</v>
      </c>
      <c r="C66" s="16" t="s">
        <v>154</v>
      </c>
      <c r="D66" s="16" t="s">
        <v>119</v>
      </c>
      <c r="E66" s="16" t="s">
        <v>20</v>
      </c>
      <c r="F66" s="16" t="s">
        <v>21</v>
      </c>
      <c r="G66" s="16" t="n">
        <v>20</v>
      </c>
      <c r="H66" s="16" t="n">
        <v>15</v>
      </c>
      <c r="I66" s="16" t="n">
        <v>30</v>
      </c>
      <c r="J66" s="16" t="n">
        <v>21.6</v>
      </c>
      <c r="K66" s="16" t="n">
        <v>257</v>
      </c>
      <c r="L66" s="16" t="n">
        <v>1315.2</v>
      </c>
    </row>
    <row r="67" customFormat="false" ht="15" hidden="false" customHeight="false" outlineLevel="0" collapsed="false">
      <c r="A67" s="16" t="s">
        <v>120</v>
      </c>
      <c r="B67" s="16" t="s">
        <v>153</v>
      </c>
      <c r="C67" s="16" t="s">
        <v>154</v>
      </c>
      <c r="D67" s="16" t="s">
        <v>121</v>
      </c>
      <c r="E67" s="16" t="s">
        <v>20</v>
      </c>
      <c r="F67" s="16" t="s">
        <v>80</v>
      </c>
      <c r="G67" s="16" t="n">
        <v>20</v>
      </c>
      <c r="H67" s="16" t="n">
        <v>20</v>
      </c>
      <c r="I67" s="16" t="n">
        <v>30</v>
      </c>
      <c r="J67" s="16" t="n">
        <v>22.6</v>
      </c>
      <c r="K67" s="16" t="n">
        <v>257</v>
      </c>
      <c r="L67" s="16" t="n">
        <v>1215</v>
      </c>
    </row>
    <row r="68" customFormat="false" ht="15" hidden="false" customHeight="false" outlineLevel="0" collapsed="false">
      <c r="A68" s="15" t="s">
        <v>122</v>
      </c>
      <c r="B68" s="15"/>
      <c r="C68" s="15" t="s">
        <v>155</v>
      </c>
      <c r="D68" s="15" t="s">
        <v>23</v>
      </c>
      <c r="E68" s="15" t="s">
        <v>20</v>
      </c>
      <c r="F68" s="15" t="s">
        <v>21</v>
      </c>
      <c r="G68" s="15" t="n">
        <v>200</v>
      </c>
      <c r="H68" s="15" t="n">
        <v>50</v>
      </c>
      <c r="I68" s="15" t="n">
        <v>25</v>
      </c>
      <c r="J68" s="15" t="n">
        <v>600</v>
      </c>
      <c r="K68" s="15" t="n">
        <v>1432.7</v>
      </c>
      <c r="L68" s="15" t="n">
        <v>4163.2</v>
      </c>
    </row>
    <row r="69" customFormat="false" ht="15" hidden="false" customHeight="false" outlineLevel="0" collapsed="false">
      <c r="A69" s="16" t="s">
        <v>124</v>
      </c>
      <c r="B69" s="16" t="s">
        <v>153</v>
      </c>
      <c r="C69" s="16" t="s">
        <v>155</v>
      </c>
      <c r="D69" s="16" t="s">
        <v>126</v>
      </c>
      <c r="E69" s="16" t="s">
        <v>20</v>
      </c>
      <c r="F69" s="16" t="s">
        <v>21</v>
      </c>
      <c r="G69" s="16" t="n">
        <v>35</v>
      </c>
      <c r="H69" s="16" t="n">
        <v>65</v>
      </c>
      <c r="I69" s="16" t="n">
        <v>60</v>
      </c>
      <c r="J69" s="16" t="n">
        <v>327.6</v>
      </c>
      <c r="K69" s="16" t="n">
        <v>1311.9</v>
      </c>
      <c r="L69" s="16" t="n">
        <v>4218.4</v>
      </c>
    </row>
    <row r="70" customFormat="false" ht="15" hidden="false" customHeight="false" outlineLevel="0" collapsed="false">
      <c r="A70" s="16" t="s">
        <v>127</v>
      </c>
      <c r="B70" s="16" t="s">
        <v>153</v>
      </c>
      <c r="C70" s="16" t="s">
        <v>155</v>
      </c>
      <c r="D70" s="16" t="s">
        <v>25</v>
      </c>
      <c r="E70" s="16" t="s">
        <v>20</v>
      </c>
      <c r="F70" s="16" t="s">
        <v>21</v>
      </c>
      <c r="G70" s="16" t="n">
        <v>20</v>
      </c>
      <c r="H70" s="16" t="n">
        <v>50</v>
      </c>
      <c r="I70" s="16" t="n">
        <v>60</v>
      </c>
      <c r="J70" s="16" t="n">
        <v>144</v>
      </c>
      <c r="K70" s="16" t="n">
        <v>1044.4</v>
      </c>
      <c r="L70" s="16" t="n">
        <v>4111</v>
      </c>
    </row>
    <row r="71" customFormat="false" ht="15" hidden="false" customHeight="false" outlineLevel="0" collapsed="false">
      <c r="A71" s="15" t="s">
        <v>128</v>
      </c>
      <c r="B71" s="15"/>
      <c r="C71" s="15" t="s">
        <v>155</v>
      </c>
      <c r="D71" s="15" t="s">
        <v>25</v>
      </c>
      <c r="E71" s="15" t="s">
        <v>20</v>
      </c>
      <c r="F71" s="15" t="s">
        <v>21</v>
      </c>
      <c r="G71" s="15" t="n">
        <v>20</v>
      </c>
      <c r="H71" s="15" t="n">
        <v>50</v>
      </c>
      <c r="I71" s="15" t="n">
        <v>60</v>
      </c>
      <c r="J71" s="15" t="n">
        <v>144</v>
      </c>
      <c r="K71" s="15" t="n">
        <v>1027.8</v>
      </c>
      <c r="L71" s="15" t="n">
        <v>4107.8</v>
      </c>
    </row>
    <row r="72" customFormat="false" ht="15" hidden="false" customHeight="false" outlineLevel="0" collapsed="false">
      <c r="A72" s="15" t="s">
        <v>129</v>
      </c>
      <c r="B72" s="15"/>
      <c r="C72" s="15" t="s">
        <v>155</v>
      </c>
      <c r="D72" s="15" t="s">
        <v>88</v>
      </c>
      <c r="E72" s="15" t="s">
        <v>20</v>
      </c>
      <c r="F72" s="15" t="s">
        <v>21</v>
      </c>
      <c r="G72" s="15" t="n">
        <v>50</v>
      </c>
      <c r="H72" s="15" t="n">
        <v>20</v>
      </c>
      <c r="I72" s="15" t="n">
        <v>25</v>
      </c>
      <c r="J72" s="15" t="n">
        <v>60</v>
      </c>
      <c r="K72" s="15" t="n">
        <v>1176.4</v>
      </c>
      <c r="L72" s="15" t="n">
        <v>2327.2</v>
      </c>
    </row>
    <row r="73" customFormat="false" ht="15" hidden="false" customHeight="false" outlineLevel="0" collapsed="false">
      <c r="A73" s="15" t="s">
        <v>130</v>
      </c>
      <c r="B73" s="15"/>
      <c r="C73" s="15" t="s">
        <v>156</v>
      </c>
      <c r="D73" s="15" t="s">
        <v>32</v>
      </c>
      <c r="E73" s="15" t="s">
        <v>20</v>
      </c>
      <c r="F73" s="15" t="s">
        <v>21</v>
      </c>
      <c r="G73" s="15" t="n">
        <v>25</v>
      </c>
      <c r="H73" s="15" t="n">
        <v>55</v>
      </c>
      <c r="I73" s="15" t="n">
        <v>25</v>
      </c>
      <c r="J73" s="15" t="n">
        <v>82.5</v>
      </c>
      <c r="K73" s="15" t="n">
        <v>541.6</v>
      </c>
      <c r="L73" s="15" t="n">
        <v>3238.8</v>
      </c>
    </row>
    <row r="74" customFormat="false" ht="15" hidden="false" customHeight="false" outlineLevel="0" collapsed="false">
      <c r="A74" s="15" t="s">
        <v>132</v>
      </c>
      <c r="B74" s="15"/>
      <c r="C74" s="15" t="s">
        <v>156</v>
      </c>
      <c r="D74" s="15" t="s">
        <v>30</v>
      </c>
      <c r="E74" s="15" t="s">
        <v>20</v>
      </c>
      <c r="F74" s="15" t="s">
        <v>21</v>
      </c>
      <c r="G74" s="15" t="n">
        <v>6</v>
      </c>
      <c r="H74" s="15" t="n">
        <v>50</v>
      </c>
      <c r="I74" s="15" t="n">
        <v>90</v>
      </c>
      <c r="J74" s="15" t="n">
        <v>64.8</v>
      </c>
      <c r="K74" s="15" t="n">
        <v>503.2</v>
      </c>
      <c r="L74" s="15" t="n">
        <v>3245.8</v>
      </c>
    </row>
    <row r="75" customFormat="false" ht="15" hidden="false" customHeight="false" outlineLevel="0" collapsed="false">
      <c r="A75" s="15" t="s">
        <v>133</v>
      </c>
      <c r="B75" s="15"/>
      <c r="C75" s="15" t="s">
        <v>156</v>
      </c>
      <c r="D75" s="15" t="s">
        <v>34</v>
      </c>
      <c r="E75" s="15" t="s">
        <v>20</v>
      </c>
      <c r="F75" s="15" t="s">
        <v>21</v>
      </c>
      <c r="G75" s="15" t="n">
        <v>39</v>
      </c>
      <c r="H75" s="15" t="n">
        <v>34</v>
      </c>
      <c r="I75" s="15" t="n">
        <v>25</v>
      </c>
      <c r="J75" s="15" t="n">
        <v>79.6</v>
      </c>
      <c r="K75" s="15" t="n">
        <v>584.9</v>
      </c>
      <c r="L75" s="15" t="n">
        <v>3238.8</v>
      </c>
    </row>
    <row r="76" customFormat="false" ht="15" hidden="false" customHeight="false" outlineLevel="0" collapsed="false">
      <c r="A76" s="15" t="s">
        <v>134</v>
      </c>
      <c r="B76" s="15"/>
      <c r="C76" s="15" t="s">
        <v>156</v>
      </c>
      <c r="D76" s="15" t="s">
        <v>38</v>
      </c>
      <c r="E76" s="15" t="s">
        <v>20</v>
      </c>
      <c r="F76" s="15" t="s">
        <v>21</v>
      </c>
      <c r="G76" s="15" t="n">
        <v>39</v>
      </c>
      <c r="H76" s="15" t="n">
        <v>44</v>
      </c>
      <c r="I76" s="15" t="n">
        <v>25</v>
      </c>
      <c r="J76" s="15" t="n">
        <v>103</v>
      </c>
      <c r="K76" s="15" t="n">
        <v>696.5</v>
      </c>
      <c r="L76" s="15" t="n">
        <v>3400.5</v>
      </c>
    </row>
    <row r="77" customFormat="false" ht="15" hidden="false" customHeight="false" outlineLevel="0" collapsed="false">
      <c r="A77" s="15" t="s">
        <v>135</v>
      </c>
      <c r="B77" s="15"/>
      <c r="C77" s="15" t="s">
        <v>156</v>
      </c>
      <c r="D77" s="15" t="s">
        <v>40</v>
      </c>
      <c r="E77" s="15" t="s">
        <v>20</v>
      </c>
      <c r="F77" s="15" t="s">
        <v>21</v>
      </c>
      <c r="G77" s="15" t="n">
        <v>10</v>
      </c>
      <c r="H77" s="15" t="n">
        <v>25</v>
      </c>
      <c r="I77" s="15" t="n">
        <v>25</v>
      </c>
      <c r="J77" s="15" t="n">
        <v>15</v>
      </c>
      <c r="K77" s="15" t="n">
        <v>756.4</v>
      </c>
      <c r="L77" s="15" t="n">
        <v>3374.3</v>
      </c>
    </row>
    <row r="78" customFormat="false" ht="15" hidden="false" customHeight="false" outlineLevel="0" collapsed="false">
      <c r="A78" s="15" t="s">
        <v>136</v>
      </c>
      <c r="B78" s="15"/>
      <c r="C78" s="15" t="s">
        <v>156</v>
      </c>
      <c r="D78" s="15" t="s">
        <v>79</v>
      </c>
      <c r="E78" s="15" t="s">
        <v>20</v>
      </c>
      <c r="F78" s="15" t="s">
        <v>80</v>
      </c>
      <c r="G78" s="15" t="n">
        <v>54</v>
      </c>
      <c r="H78" s="15" t="n">
        <v>54</v>
      </c>
      <c r="I78" s="15" t="n">
        <v>25</v>
      </c>
      <c r="J78" s="15" t="n">
        <v>137.4</v>
      </c>
      <c r="K78" s="15" t="n">
        <v>1023.8</v>
      </c>
      <c r="L78" s="15" t="n">
        <v>3410.4</v>
      </c>
    </row>
    <row r="79" customFormat="false" ht="15" hidden="false" customHeight="false" outlineLevel="0" collapsed="false">
      <c r="A79" s="15" t="s">
        <v>137</v>
      </c>
      <c r="B79" s="15"/>
      <c r="C79" s="15" t="s">
        <v>156</v>
      </c>
      <c r="D79" s="15" t="s">
        <v>84</v>
      </c>
      <c r="E79" s="15" t="s">
        <v>20</v>
      </c>
      <c r="F79" s="15" t="s">
        <v>21</v>
      </c>
      <c r="G79" s="15" t="n">
        <v>35</v>
      </c>
      <c r="H79" s="15" t="n">
        <v>10</v>
      </c>
      <c r="I79" s="15" t="n">
        <v>30</v>
      </c>
      <c r="J79" s="15" t="n">
        <v>25.2</v>
      </c>
      <c r="K79" s="15" t="n">
        <v>1025.4</v>
      </c>
      <c r="L79" s="15" t="n">
        <v>3471.3</v>
      </c>
    </row>
    <row r="80" customFormat="false" ht="15" hidden="false" customHeight="false" outlineLevel="0" collapsed="false">
      <c r="A80" s="15" t="s">
        <v>138</v>
      </c>
      <c r="B80" s="15"/>
      <c r="C80" s="15" t="s">
        <v>156</v>
      </c>
      <c r="D80" s="15" t="s">
        <v>73</v>
      </c>
      <c r="E80" s="15" t="s">
        <v>20</v>
      </c>
      <c r="F80" s="15" t="s">
        <v>21</v>
      </c>
      <c r="G80" s="15" t="n">
        <v>84</v>
      </c>
      <c r="H80" s="15" t="n">
        <v>94</v>
      </c>
      <c r="I80" s="15" t="n">
        <v>25</v>
      </c>
      <c r="J80" s="15" t="n">
        <v>473.8</v>
      </c>
      <c r="K80" s="15" t="n">
        <v>1021.5</v>
      </c>
      <c r="L80" s="15" t="n">
        <v>3275.1</v>
      </c>
    </row>
    <row r="81" customFormat="false" ht="15" hidden="false" customHeight="false" outlineLevel="0" collapsed="false">
      <c r="A81" s="15" t="s">
        <v>139</v>
      </c>
      <c r="B81" s="15"/>
      <c r="C81" s="15" t="s">
        <v>156</v>
      </c>
      <c r="D81" s="15" t="s">
        <v>77</v>
      </c>
      <c r="E81" s="15" t="s">
        <v>20</v>
      </c>
      <c r="F81" s="15" t="s">
        <v>21</v>
      </c>
      <c r="G81" s="15" t="n">
        <v>160</v>
      </c>
      <c r="H81" s="15" t="n">
        <v>30</v>
      </c>
      <c r="I81" s="15" t="n">
        <v>25</v>
      </c>
      <c r="J81" s="15" t="n">
        <v>288</v>
      </c>
      <c r="K81" s="15" t="n">
        <v>995.1</v>
      </c>
      <c r="L81" s="15" t="n">
        <v>3394.5</v>
      </c>
    </row>
    <row r="82" customFormat="false" ht="15" hidden="false" customHeight="false" outlineLevel="0" collapsed="false">
      <c r="A82" s="15" t="s">
        <v>140</v>
      </c>
      <c r="B82" s="15"/>
      <c r="C82" s="15" t="s">
        <v>156</v>
      </c>
      <c r="D82" s="15" t="s">
        <v>82</v>
      </c>
      <c r="E82" s="15" t="s">
        <v>20</v>
      </c>
      <c r="F82" s="15" t="s">
        <v>21</v>
      </c>
      <c r="G82" s="15" t="n">
        <v>154</v>
      </c>
      <c r="H82" s="15" t="n">
        <v>94</v>
      </c>
      <c r="I82" s="15" t="n">
        <v>30</v>
      </c>
      <c r="J82" s="15" t="n">
        <v>1042.3</v>
      </c>
      <c r="K82" s="15" t="n">
        <v>1094.6</v>
      </c>
      <c r="L82" s="15" t="n">
        <v>3447.9</v>
      </c>
    </row>
    <row r="83" customFormat="false" ht="15" hidden="false" customHeight="false" outlineLevel="0" collapsed="false">
      <c r="A83" s="15" t="s">
        <v>141</v>
      </c>
      <c r="B83" s="15"/>
      <c r="C83" s="15" t="s">
        <v>156</v>
      </c>
      <c r="D83" s="15" t="s">
        <v>75</v>
      </c>
      <c r="E83" s="15" t="s">
        <v>20</v>
      </c>
      <c r="F83" s="15" t="s">
        <v>21</v>
      </c>
      <c r="G83" s="15" t="n">
        <v>64</v>
      </c>
      <c r="H83" s="15" t="n">
        <v>114</v>
      </c>
      <c r="I83" s="15" t="n">
        <v>25</v>
      </c>
      <c r="J83" s="15" t="n">
        <v>437.8</v>
      </c>
      <c r="K83" s="15" t="n">
        <v>1090.4</v>
      </c>
      <c r="L83" s="15" t="n">
        <v>3285.5</v>
      </c>
    </row>
    <row r="84" customFormat="false" ht="15" hidden="false" customHeight="false" outlineLevel="0" collapsed="false">
      <c r="A84" s="15" t="s">
        <v>142</v>
      </c>
      <c r="B84" s="15"/>
      <c r="C84" s="15" t="s">
        <v>156</v>
      </c>
      <c r="D84" s="15" t="s">
        <v>36</v>
      </c>
      <c r="E84" s="15" t="s">
        <v>20</v>
      </c>
      <c r="F84" s="15" t="s">
        <v>21</v>
      </c>
      <c r="G84" s="15" t="n">
        <v>94</v>
      </c>
      <c r="H84" s="15" t="n">
        <v>164</v>
      </c>
      <c r="I84" s="15" t="n">
        <v>25</v>
      </c>
      <c r="J84" s="15" t="n">
        <v>925</v>
      </c>
      <c r="K84" s="15" t="n">
        <v>642.3</v>
      </c>
      <c r="L84" s="15" t="n">
        <v>3301.1</v>
      </c>
    </row>
    <row r="85" customFormat="false" ht="15" hidden="false" customHeight="false" outlineLevel="0" collapsed="false">
      <c r="A85" s="15" t="s">
        <v>143</v>
      </c>
      <c r="B85" s="15"/>
      <c r="C85" s="15" t="s">
        <v>156</v>
      </c>
      <c r="D85" s="15" t="s">
        <v>88</v>
      </c>
      <c r="E85" s="15" t="s">
        <v>20</v>
      </c>
      <c r="F85" s="15" t="s">
        <v>21</v>
      </c>
      <c r="G85" s="15" t="n">
        <v>50</v>
      </c>
      <c r="H85" s="15" t="n">
        <v>20</v>
      </c>
      <c r="I85" s="15" t="n">
        <v>25</v>
      </c>
      <c r="J85" s="15" t="n">
        <v>60</v>
      </c>
      <c r="K85" s="15" t="n">
        <v>527.7</v>
      </c>
      <c r="L85" s="15" t="n">
        <v>1535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11" t="s">
        <v>158</v>
      </c>
      <c r="B3" s="17" t="n">
        <v>6</v>
      </c>
    </row>
    <row r="4" customFormat="false" ht="15" hidden="false" customHeight="false" outlineLevel="0" collapsed="false">
      <c r="A4" s="11" t="s">
        <v>159</v>
      </c>
      <c r="B4" s="17" t="n">
        <v>91</v>
      </c>
    </row>
    <row r="5" customFormat="false" ht="15" hidden="false" customHeight="false" outlineLevel="0" collapsed="false">
      <c r="A5" s="11" t="s">
        <v>160</v>
      </c>
      <c r="B5" s="17" t="n">
        <v>82</v>
      </c>
    </row>
    <row r="6" customFormat="false" ht="15" hidden="false" customHeight="false" outlineLevel="0" collapsed="false">
      <c r="A6" s="11" t="s">
        <v>161</v>
      </c>
      <c r="B6" s="17" t="n">
        <v>75</v>
      </c>
    </row>
    <row r="7" customFormat="false" ht="15" hidden="false" customHeight="false" outlineLevel="0" collapsed="false">
      <c r="A7" s="11" t="s">
        <v>162</v>
      </c>
      <c r="B7" s="17" t="n">
        <v>7</v>
      </c>
    </row>
    <row r="8" customFormat="false" ht="15" hidden="false" customHeight="false" outlineLevel="0" collapsed="false">
      <c r="A8" s="11" t="s">
        <v>163</v>
      </c>
      <c r="B8" s="17" t="n">
        <v>7</v>
      </c>
    </row>
    <row r="9" customFormat="false" ht="15" hidden="false" customHeight="false" outlineLevel="0" collapsed="false">
      <c r="A9" s="18"/>
      <c r="B9" s="17"/>
    </row>
    <row r="10" customFormat="false" ht="15" hidden="false" customHeight="false" outlineLevel="0" collapsed="false">
      <c r="A10" s="11" t="s">
        <v>164</v>
      </c>
      <c r="B10" s="17" t="n">
        <v>75</v>
      </c>
    </row>
    <row r="11" customFormat="false" ht="15" hidden="false" customHeight="false" outlineLevel="0" collapsed="false">
      <c r="A11" s="11" t="s">
        <v>165</v>
      </c>
      <c r="B11" s="17" t="n">
        <v>0</v>
      </c>
    </row>
    <row r="12" customFormat="false" ht="15" hidden="false" customHeight="false" outlineLevel="0" collapsed="false">
      <c r="A12" s="11" t="s">
        <v>166</v>
      </c>
      <c r="B12" s="17" t="n">
        <v>4</v>
      </c>
    </row>
    <row r="13" customFormat="false" ht="15" hidden="false" customHeight="false" outlineLevel="0" collapsed="false">
      <c r="A13" s="11" t="s">
        <v>167</v>
      </c>
      <c r="B13" s="17" t="n">
        <v>71</v>
      </c>
    </row>
    <row r="14" customFormat="false" ht="15" hidden="false" customHeight="false" outlineLevel="0" collapsed="false">
      <c r="A14" s="18"/>
      <c r="B14" s="17"/>
    </row>
    <row r="15" customFormat="false" ht="15" hidden="false" customHeight="false" outlineLevel="0" collapsed="false">
      <c r="A15" s="11" t="s">
        <v>168</v>
      </c>
      <c r="B15" s="17" t="n">
        <v>27205.9</v>
      </c>
    </row>
    <row r="16" customFormat="false" ht="15" hidden="false" customHeight="false" outlineLevel="0" collapsed="false">
      <c r="A16" s="11" t="s">
        <v>169</v>
      </c>
      <c r="B16" s="17" t="n">
        <v>5749.6</v>
      </c>
    </row>
    <row r="17" customFormat="false" ht="15" hidden="false" customHeight="false" outlineLevel="0" collapsed="false">
      <c r="A17" s="11" t="s">
        <v>170</v>
      </c>
      <c r="B17" s="17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2026-06-18T08:50:23Z</dcterms:created>
  <dc:creator>openpyxl</dc:creator>
  <dc:description/>
  <dc:language>en-US</dc:language>
  <cp:lastModifiedBy/>
  <dcterms:modified xsi:type="dcterms:W3CDTF">2026-06-18T08:50:24Z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