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- scale 1:50 - weight = displaced concrete x 2.4 t/m3 - round = pipe penetration (diameter)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SP_U1_0002</t>
        </is>
      </c>
      <c r="D5" s="4" t="n">
        <v>1</v>
      </c>
      <c r="E5" s="4" t="inlineStr">
        <is>
          <t>DDB64/114</t>
        </is>
      </c>
      <c r="F5" s="4" t="inlineStr">
        <is>
          <t>Ceiling</t>
        </is>
      </c>
      <c r="G5" s="4" t="inlineStr">
        <is>
          <t>rectangular</t>
        </is>
      </c>
      <c r="H5" s="4" t="n">
        <v>64</v>
      </c>
      <c r="I5" s="4" t="n">
        <v>114</v>
      </c>
      <c r="J5" s="4" t="n"/>
      <c r="K5" s="4" t="n">
        <v>25</v>
      </c>
      <c r="L5" s="4" t="n">
        <v>-0.55</v>
      </c>
      <c r="M5" s="6">
        <f>IF(G5="round",PI()/4*J5^2,H5*I5)*K5*2.4/1000</f>
        <v/>
      </c>
      <c r="N5" s="4" t="n">
        <v>7659</v>
      </c>
      <c r="O5" s="4" t="n">
        <v>29017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SP_U1_0002</t>
        </is>
      </c>
      <c r="D6" s="4" t="n">
        <v>1</v>
      </c>
      <c r="E6" s="7" t="inlineStr">
        <is>
          <t>DDB84/94</t>
        </is>
      </c>
      <c r="F6" s="7" t="inlineStr">
        <is>
          <t>Ceiling</t>
        </is>
      </c>
      <c r="G6" s="7" t="inlineStr">
        <is>
          <t>rectangular</t>
        </is>
      </c>
      <c r="H6" s="7" t="n">
        <v>84</v>
      </c>
      <c r="I6" s="7" t="n">
        <v>94</v>
      </c>
      <c r="J6" s="7" t="n"/>
      <c r="K6" s="7" t="n">
        <v>25</v>
      </c>
      <c r="L6" s="7" t="n">
        <v>-0.55</v>
      </c>
      <c r="M6" s="9">
        <f>IF(G6="round",PI()/4*J6^2,H6*I6)*K6*2.4/1000</f>
        <v/>
      </c>
      <c r="N6" s="7" t="n">
        <v>6698</v>
      </c>
      <c r="O6" s="7" t="n">
        <v>29233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SP_U1_0002</t>
        </is>
      </c>
      <c r="D7" s="4" t="n">
        <v>1</v>
      </c>
      <c r="E7" s="4" t="inlineStr">
        <is>
          <t>DDB434/184</t>
        </is>
      </c>
      <c r="F7" s="4" t="inlineStr">
        <is>
          <t>Ceiling</t>
        </is>
      </c>
      <c r="G7" s="4" t="inlineStr">
        <is>
          <t>rectangular</t>
        </is>
      </c>
      <c r="H7" s="4" t="n">
        <v>434</v>
      </c>
      <c r="I7" s="4" t="n">
        <v>184</v>
      </c>
      <c r="J7" s="4" t="n"/>
      <c r="K7" s="4" t="n">
        <v>30</v>
      </c>
      <c r="L7" s="4" t="n">
        <v>-0.15</v>
      </c>
      <c r="M7" s="6">
        <f>IF(G7="round",PI()/4*J7^2,H7*I7)*K7*2.4/1000</f>
        <v/>
      </c>
      <c r="N7" s="4" t="n">
        <v>31486</v>
      </c>
      <c r="O7" s="4" t="n">
        <v>30429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SP_U1_0002</t>
        </is>
      </c>
      <c r="D8" s="4" t="n">
        <v>1</v>
      </c>
      <c r="E8" s="7" t="inlineStr">
        <is>
          <t>DDB160/30</t>
        </is>
      </c>
      <c r="F8" s="7" t="inlineStr">
        <is>
          <t>Ceiling</t>
        </is>
      </c>
      <c r="G8" s="7" t="inlineStr">
        <is>
          <t>rectangular</t>
        </is>
      </c>
      <c r="H8" s="7" t="n">
        <v>160</v>
      </c>
      <c r="I8" s="7" t="n">
        <v>30</v>
      </c>
      <c r="J8" s="7" t="n"/>
      <c r="K8" s="7" t="n">
        <v>28</v>
      </c>
      <c r="L8" s="7" t="n">
        <v>-0.155</v>
      </c>
      <c r="M8" s="9">
        <f>IF(G8="round",PI()/4*J8^2,H8*I8)*K8*2.4/1000</f>
        <v/>
      </c>
      <c r="N8" s="7" t="n">
        <v>5938</v>
      </c>
      <c r="O8" s="7" t="n">
        <v>31904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SP_U1_0002</t>
        </is>
      </c>
      <c r="D9" s="4" t="n">
        <v>1</v>
      </c>
      <c r="E9" s="4" t="inlineStr">
        <is>
          <t>DDB154/94</t>
        </is>
      </c>
      <c r="F9" s="4" t="inlineStr">
        <is>
          <t>Ceiling</t>
        </is>
      </c>
      <c r="G9" s="4" t="inlineStr">
        <is>
          <t>rectangular</t>
        </is>
      </c>
      <c r="H9" s="4" t="n">
        <v>154</v>
      </c>
      <c r="I9" s="4" t="n">
        <v>94</v>
      </c>
      <c r="J9" s="4" t="n"/>
      <c r="K9" s="4" t="n">
        <v>28</v>
      </c>
      <c r="L9" s="4" t="n">
        <v>-0.155</v>
      </c>
      <c r="M9" s="6">
        <f>IF(G9="round",PI()/4*J9^2,H9*I9)*K9*2.4/1000</f>
        <v/>
      </c>
      <c r="N9" s="4" t="n">
        <v>7612</v>
      </c>
      <c r="O9" s="4" t="n">
        <v>32224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SP_U1_0002</t>
        </is>
      </c>
      <c r="D10" s="4" t="n">
        <v>1</v>
      </c>
      <c r="E10" s="7" t="inlineStr">
        <is>
          <t>DDB54/54</t>
        </is>
      </c>
      <c r="F10" s="7" t="inlineStr">
        <is>
          <t>Ceiling</t>
        </is>
      </c>
      <c r="G10" s="7" t="inlineStr">
        <is>
          <t>rectangular</t>
        </is>
      </c>
      <c r="H10" s="7" t="n">
        <v>54</v>
      </c>
      <c r="I10" s="7" t="n">
        <v>54</v>
      </c>
      <c r="J10" s="7" t="n"/>
      <c r="K10" s="7" t="n">
        <v>28</v>
      </c>
      <c r="L10" s="7" t="n">
        <v>-0.155</v>
      </c>
      <c r="M10" s="9">
        <f>IF(G10="round",PI()/4*J10^2,H10*I10)*K10*2.4/1000</f>
        <v/>
      </c>
      <c r="N10" s="7" t="n">
        <v>6566</v>
      </c>
      <c r="O10" s="7" t="n">
        <v>32753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SP_U1_0002</t>
        </is>
      </c>
      <c r="D11" s="4" t="n">
        <v>1</v>
      </c>
      <c r="E11" s="4" t="inlineStr">
        <is>
          <t>DDBØ20</t>
        </is>
      </c>
      <c r="F11" s="4" t="inlineStr">
        <is>
          <t>Ceiling</t>
        </is>
      </c>
      <c r="G11" s="4" t="inlineStr">
        <is>
          <t>round</t>
        </is>
      </c>
      <c r="H11" s="4" t="n"/>
      <c r="I11" s="4" t="n"/>
      <c r="J11" s="4" t="n">
        <v>20</v>
      </c>
      <c r="K11" s="4" t="n">
        <v>28</v>
      </c>
      <c r="L11" s="4" t="n">
        <v>-0.155</v>
      </c>
      <c r="M11" s="6">
        <f>IF(G11="round",PI()/4*J11^2,H11*I11)*K11*2.4/1000</f>
        <v/>
      </c>
      <c r="N11" s="4" t="n">
        <v>8597</v>
      </c>
      <c r="O11" s="4" t="n">
        <v>33218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SP_U1_0002</t>
        </is>
      </c>
      <c r="D12" s="4" t="n">
        <v>1</v>
      </c>
      <c r="E12" s="7" t="inlineStr">
        <is>
          <t>DDB35/10</t>
        </is>
      </c>
      <c r="F12" s="7" t="inlineStr">
        <is>
          <t>Ceiling</t>
        </is>
      </c>
      <c r="G12" s="7" t="inlineStr">
        <is>
          <t>rectangular</t>
        </is>
      </c>
      <c r="H12" s="7" t="n">
        <v>35</v>
      </c>
      <c r="I12" s="7" t="n">
        <v>10</v>
      </c>
      <c r="J12" s="7" t="n"/>
      <c r="K12" s="7" t="n">
        <v>28</v>
      </c>
      <c r="L12" s="7" t="n">
        <v>-0.155</v>
      </c>
      <c r="M12" s="9">
        <f>IF(G12="round",PI()/4*J12^2,H12*I12)*K12*2.4/1000</f>
        <v/>
      </c>
      <c r="N12" s="7" t="n">
        <v>6458</v>
      </c>
      <c r="O12" s="7" t="n">
        <v>34430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SP_U1_0002</t>
        </is>
      </c>
      <c r="D13" s="4" t="n">
        <v>1</v>
      </c>
      <c r="E13" s="4" t="inlineStr">
        <is>
          <t>DDB25/40</t>
        </is>
      </c>
      <c r="F13" s="4" t="inlineStr">
        <is>
          <t>Ceiling</t>
        </is>
      </c>
      <c r="G13" s="4" t="inlineStr">
        <is>
          <t>rectangular</t>
        </is>
      </c>
      <c r="H13" s="4" t="n">
        <v>25</v>
      </c>
      <c r="I13" s="4" t="n">
        <v>40</v>
      </c>
      <c r="J13" s="4" t="n"/>
      <c r="K13" s="4" t="n">
        <v>30</v>
      </c>
      <c r="L13" s="4" t="n">
        <v>-0.15</v>
      </c>
      <c r="M13" s="6">
        <f>IF(G13="round",PI()/4*J13^2,H13*I13)*K13*2.4/1000</f>
        <v/>
      </c>
      <c r="N13" s="4" t="n">
        <v>22346</v>
      </c>
      <c r="O13" s="4" t="n">
        <v>35148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SP_U1_0002</t>
        </is>
      </c>
      <c r="D14" s="4" t="n">
        <v>1</v>
      </c>
      <c r="E14" s="7" t="inlineStr">
        <is>
          <t>DDB25/40</t>
        </is>
      </c>
      <c r="F14" s="7" t="inlineStr">
        <is>
          <t>Ceiling</t>
        </is>
      </c>
      <c r="G14" s="7" t="inlineStr">
        <is>
          <t>rectangular</t>
        </is>
      </c>
      <c r="H14" s="7" t="n">
        <v>25</v>
      </c>
      <c r="I14" s="7" t="n">
        <v>40</v>
      </c>
      <c r="J14" s="7" t="n"/>
      <c r="K14" s="7" t="n">
        <v>30</v>
      </c>
      <c r="L14" s="7" t="n">
        <v>-0.15</v>
      </c>
      <c r="M14" s="9">
        <f>IF(G14="round",PI()/4*J14^2,H14*I14)*K14*2.4/1000</f>
        <v/>
      </c>
      <c r="N14" s="7" t="n">
        <v>22346</v>
      </c>
      <c r="O14" s="7" t="n">
        <v>37112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SP_U1_0002</t>
        </is>
      </c>
      <c r="D15" s="4" t="n">
        <v>1</v>
      </c>
      <c r="E15" s="4" t="inlineStr">
        <is>
          <t>DDBØ10</t>
        </is>
      </c>
      <c r="F15" s="4" t="inlineStr">
        <is>
          <t>Ceiling</t>
        </is>
      </c>
      <c r="G15" s="4" t="inlineStr">
        <is>
          <t>round</t>
        </is>
      </c>
      <c r="H15" s="4" t="n"/>
      <c r="I15" s="4" t="n"/>
      <c r="J15" s="4" t="n">
        <v>10</v>
      </c>
      <c r="K15" s="4" t="n">
        <v>30</v>
      </c>
      <c r="L15" s="4" t="n">
        <v>-0.15</v>
      </c>
      <c r="M15" s="6">
        <f>IF(G15="round",PI()/4*J15^2,H15*I15)*K15*2.4/1000</f>
        <v/>
      </c>
      <c r="N15" s="4" t="n">
        <v>22908</v>
      </c>
      <c r="O15" s="4" t="n">
        <v>40774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SP_U1_0002</t>
        </is>
      </c>
      <c r="D16" s="4" t="n">
        <v>1</v>
      </c>
      <c r="E16" s="7" t="inlineStr">
        <is>
          <t>DDBØ15</t>
        </is>
      </c>
      <c r="F16" s="7" t="inlineStr">
        <is>
          <t>Ceiling</t>
        </is>
      </c>
      <c r="G16" s="7" t="inlineStr">
        <is>
          <t>round</t>
        </is>
      </c>
      <c r="H16" s="7" t="n"/>
      <c r="I16" s="7" t="n"/>
      <c r="J16" s="7" t="n">
        <v>15</v>
      </c>
      <c r="K16" s="7" t="n">
        <v>35</v>
      </c>
      <c r="L16" s="7" t="n">
        <v>-0.8</v>
      </c>
      <c r="M16" s="9">
        <f>IF(G16="round",PI()/4*J16^2,H16*I16)*K16*2.4/1000</f>
        <v/>
      </c>
      <c r="N16" s="7" t="n">
        <v>9065</v>
      </c>
      <c r="O16" s="7" t="n">
        <v>42294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SP_U1_0002</t>
        </is>
      </c>
      <c r="D17" s="4" t="n">
        <v>1</v>
      </c>
      <c r="E17" s="4" t="inlineStr">
        <is>
          <t>DDBØ15</t>
        </is>
      </c>
      <c r="F17" s="4" t="inlineStr">
        <is>
          <t>Ceiling</t>
        </is>
      </c>
      <c r="G17" s="4" t="inlineStr">
        <is>
          <t>round</t>
        </is>
      </c>
      <c r="H17" s="4" t="n"/>
      <c r="I17" s="4" t="n"/>
      <c r="J17" s="4" t="n">
        <v>15</v>
      </c>
      <c r="K17" s="4" t="n">
        <v>35</v>
      </c>
      <c r="L17" s="4" t="n">
        <v>-0.8</v>
      </c>
      <c r="M17" s="6">
        <f>IF(G17="round",PI()/4*J17^2,H17*I17)*K17*2.4/1000</f>
        <v/>
      </c>
      <c r="N17" s="4" t="n">
        <v>7632</v>
      </c>
      <c r="O17" s="4" t="n">
        <v>42732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SP_U1_0002</t>
        </is>
      </c>
      <c r="D18" s="4" t="n">
        <v>1</v>
      </c>
      <c r="E18" s="7" t="inlineStr">
        <is>
          <t>DDBØ15</t>
        </is>
      </c>
      <c r="F18" s="7" t="inlineStr">
        <is>
          <t>Ceiling</t>
        </is>
      </c>
      <c r="G18" s="7" t="inlineStr">
        <is>
          <t>round</t>
        </is>
      </c>
      <c r="H18" s="7" t="n"/>
      <c r="I18" s="7" t="n"/>
      <c r="J18" s="7" t="n">
        <v>15</v>
      </c>
      <c r="K18" s="7" t="n">
        <v>30</v>
      </c>
      <c r="L18" s="7" t="n">
        <v>-0.15</v>
      </c>
      <c r="M18" s="9">
        <f>IF(G18="round",PI()/4*J18^2,H18*I18)*K18*2.4/1000</f>
        <v/>
      </c>
      <c r="N18" s="7" t="n">
        <v>22542</v>
      </c>
      <c r="O18" s="7" t="n">
        <v>42821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SP_U1_0002</t>
        </is>
      </c>
      <c r="D19" s="4" t="n">
        <v>1</v>
      </c>
      <c r="E19" s="4" t="inlineStr">
        <is>
          <t>DDBØ10</t>
        </is>
      </c>
      <c r="F19" s="4" t="inlineStr">
        <is>
          <t>Ceiling</t>
        </is>
      </c>
      <c r="G19" s="4" t="inlineStr">
        <is>
          <t>round</t>
        </is>
      </c>
      <c r="H19" s="4" t="n"/>
      <c r="I19" s="4" t="n"/>
      <c r="J19" s="4" t="n">
        <v>10</v>
      </c>
      <c r="K19" s="4" t="n">
        <v>30</v>
      </c>
      <c r="L19" s="4" t="n">
        <v>-0.15</v>
      </c>
      <c r="M19" s="6">
        <f>IF(G19="round",PI()/4*J19^2,H19*I19)*K19*2.4/1000</f>
        <v/>
      </c>
      <c r="N19" s="4" t="n">
        <v>18376</v>
      </c>
      <c r="O19" s="4" t="n">
        <v>42846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SP_U1_0002</t>
        </is>
      </c>
      <c r="D20" s="4" t="n">
        <v>1</v>
      </c>
      <c r="E20" s="7" t="inlineStr">
        <is>
          <t>DDBØ20</t>
        </is>
      </c>
      <c r="F20" s="7" t="inlineStr">
        <is>
          <t>Ceiling</t>
        </is>
      </c>
      <c r="G20" s="7" t="inlineStr">
        <is>
          <t>round</t>
        </is>
      </c>
      <c r="H20" s="7" t="n"/>
      <c r="I20" s="7" t="n"/>
      <c r="J20" s="7" t="n">
        <v>20</v>
      </c>
      <c r="K20" s="7" t="n">
        <v>35</v>
      </c>
      <c r="L20" s="7" t="n">
        <v>-0.8</v>
      </c>
      <c r="M20" s="9">
        <f>IF(G20="round",PI()/4*J20^2,H20*I20)*K20*2.4/1000</f>
        <v/>
      </c>
      <c r="N20" s="7" t="n">
        <v>11237</v>
      </c>
      <c r="O20" s="7" t="n">
        <v>43964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SP_U1_0002</t>
        </is>
      </c>
      <c r="D21" s="4" t="n">
        <v>1</v>
      </c>
      <c r="E21" s="4" t="inlineStr">
        <is>
          <t>DDBØ20</t>
        </is>
      </c>
      <c r="F21" s="4" t="inlineStr">
        <is>
          <t>Ceiling</t>
        </is>
      </c>
      <c r="G21" s="4" t="inlineStr">
        <is>
          <t>round</t>
        </is>
      </c>
      <c r="H21" s="4" t="n"/>
      <c r="I21" s="4" t="n"/>
      <c r="J21" s="4" t="n">
        <v>20</v>
      </c>
      <c r="K21" s="4" t="n">
        <v>35</v>
      </c>
      <c r="L21" s="4" t="n">
        <v>-0.8</v>
      </c>
      <c r="M21" s="6">
        <f>IF(G21="round",PI()/4*J21^2,H21*I21)*K21*2.4/1000</f>
        <v/>
      </c>
      <c r="N21" s="4" t="n">
        <v>4180</v>
      </c>
      <c r="O21" s="4" t="n">
        <v>46165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SP_U1_0002</t>
        </is>
      </c>
      <c r="D22" s="4" t="n">
        <v>1</v>
      </c>
      <c r="E22" s="7" t="inlineStr">
        <is>
          <t>DDBØ15</t>
        </is>
      </c>
      <c r="F22" s="7" t="inlineStr">
        <is>
          <t>Ceiling</t>
        </is>
      </c>
      <c r="G22" s="7" t="inlineStr">
        <is>
          <t>round</t>
        </is>
      </c>
      <c r="H22" s="7" t="n"/>
      <c r="I22" s="7" t="n"/>
      <c r="J22" s="7" t="n">
        <v>15</v>
      </c>
      <c r="K22" s="7" t="n">
        <v>35</v>
      </c>
      <c r="L22" s="7" t="n">
        <v>-0.8</v>
      </c>
      <c r="M22" s="9">
        <f>IF(G22="round",PI()/4*J22^2,H22*I22)*K22*2.4/1000</f>
        <v/>
      </c>
      <c r="N22" s="7" t="n">
        <v>14333</v>
      </c>
      <c r="O22" s="7" t="n">
        <v>48813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SP_U1_0002</t>
        </is>
      </c>
      <c r="D23" s="4" t="n">
        <v>1</v>
      </c>
      <c r="E23" s="4" t="inlineStr">
        <is>
          <t>DDBØ15</t>
        </is>
      </c>
      <c r="F23" s="4" t="inlineStr">
        <is>
          <t>Ceiling</t>
        </is>
      </c>
      <c r="G23" s="4" t="inlineStr">
        <is>
          <t>round</t>
        </is>
      </c>
      <c r="H23" s="4" t="n"/>
      <c r="I23" s="4" t="n"/>
      <c r="J23" s="4" t="n">
        <v>15</v>
      </c>
      <c r="K23" s="4" t="n">
        <v>35</v>
      </c>
      <c r="L23" s="4" t="n">
        <v>-0.8</v>
      </c>
      <c r="M23" s="6">
        <f>IF(G23="round",PI()/4*J23^2,H23*I23)*K23*2.4/1000</f>
        <v/>
      </c>
      <c r="N23" s="4" t="n">
        <v>14333</v>
      </c>
      <c r="O23" s="4" t="n">
        <v>50782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SP_U1_0002</t>
        </is>
      </c>
      <c r="D24" s="4" t="n">
        <v>1</v>
      </c>
      <c r="E24" s="7" t="inlineStr">
        <is>
          <t>DDBØ20</t>
        </is>
      </c>
      <c r="F24" s="7" t="inlineStr">
        <is>
          <t>Ceiling</t>
        </is>
      </c>
      <c r="G24" s="7" t="inlineStr">
        <is>
          <t>round</t>
        </is>
      </c>
      <c r="H24" s="7" t="n"/>
      <c r="I24" s="7" t="n"/>
      <c r="J24" s="7" t="n">
        <v>20</v>
      </c>
      <c r="K24" s="7" t="n">
        <v>35</v>
      </c>
      <c r="L24" s="7" t="n">
        <v>-0.8</v>
      </c>
      <c r="M24" s="9">
        <f>IF(G24="round",PI()/4*J24^2,H24*I24)*K24*2.4/1000</f>
        <v/>
      </c>
      <c r="N24" s="7" t="n">
        <v>4110</v>
      </c>
      <c r="O24" s="7" t="n">
        <v>54494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SP_U1_0002</t>
        </is>
      </c>
      <c r="D25" s="4" t="n">
        <v>1</v>
      </c>
      <c r="E25" s="4" t="inlineStr">
        <is>
          <t>DDBØ20</t>
        </is>
      </c>
      <c r="F25" s="4" t="inlineStr">
        <is>
          <t>Ceiling</t>
        </is>
      </c>
      <c r="G25" s="4" t="inlineStr">
        <is>
          <t>round</t>
        </is>
      </c>
      <c r="H25" s="4" t="n"/>
      <c r="I25" s="4" t="n"/>
      <c r="J25" s="4" t="n">
        <v>20</v>
      </c>
      <c r="K25" s="4" t="n">
        <v>35</v>
      </c>
      <c r="L25" s="4" t="n">
        <v>-0.8</v>
      </c>
      <c r="M25" s="6">
        <f>IF(G25="round",PI()/4*J25^2,H25*I25)*K25*2.4/1000</f>
        <v/>
      </c>
      <c r="N25" s="4" t="n">
        <v>11275</v>
      </c>
      <c r="O25" s="4" t="n">
        <v>54638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SP_U1_0002</t>
        </is>
      </c>
      <c r="D26" s="4" t="n">
        <v>1</v>
      </c>
      <c r="E26" s="7" t="inlineStr">
        <is>
          <t>DDBØ15</t>
        </is>
      </c>
      <c r="F26" s="7" t="inlineStr">
        <is>
          <t>Ceiling</t>
        </is>
      </c>
      <c r="G26" s="7" t="inlineStr">
        <is>
          <t>round</t>
        </is>
      </c>
      <c r="H26" s="7" t="n"/>
      <c r="I26" s="7" t="n"/>
      <c r="J26" s="7" t="n">
        <v>15</v>
      </c>
      <c r="K26" s="7" t="n">
        <v>30</v>
      </c>
      <c r="L26" s="7" t="n">
        <v>-0.15</v>
      </c>
      <c r="M26" s="9">
        <f>IF(G26="round",PI()/4*J26^2,H26*I26)*K26*2.4/1000</f>
        <v/>
      </c>
      <c r="N26" s="7" t="n">
        <v>23092</v>
      </c>
      <c r="O26" s="7" t="n">
        <v>57170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SP_U1_0002</t>
        </is>
      </c>
      <c r="D27" s="4" t="n">
        <v>1</v>
      </c>
      <c r="E27" s="4" t="inlineStr">
        <is>
          <t>DDBØ15</t>
        </is>
      </c>
      <c r="F27" s="4" t="inlineStr">
        <is>
          <t>Ceiling</t>
        </is>
      </c>
      <c r="G27" s="4" t="inlineStr">
        <is>
          <t>round</t>
        </is>
      </c>
      <c r="H27" s="4" t="n"/>
      <c r="I27" s="4" t="n"/>
      <c r="J27" s="4" t="n">
        <v>15</v>
      </c>
      <c r="K27" s="4" t="n">
        <v>40</v>
      </c>
      <c r="L27" s="4" t="n">
        <v>-0.15</v>
      </c>
      <c r="M27" s="6">
        <f>IF(G27="round",PI()/4*J27^2,H27*I27)*K27*2.4/1000</f>
        <v/>
      </c>
      <c r="N27" s="4" t="n">
        <v>20533</v>
      </c>
      <c r="O27" s="4" t="n">
        <v>57587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SP_U1_0002</t>
        </is>
      </c>
      <c r="D28" s="4" t="n">
        <v>1</v>
      </c>
      <c r="E28" s="7" t="inlineStr">
        <is>
          <t>DDBØ15</t>
        </is>
      </c>
      <c r="F28" s="7" t="inlineStr">
        <is>
          <t>Ceiling</t>
        </is>
      </c>
      <c r="G28" s="7" t="inlineStr">
        <is>
          <t>round</t>
        </is>
      </c>
      <c r="H28" s="7" t="n"/>
      <c r="I28" s="7" t="n"/>
      <c r="J28" s="7" t="n">
        <v>15</v>
      </c>
      <c r="K28" s="7" t="n">
        <v>35</v>
      </c>
      <c r="L28" s="7" t="n">
        <v>-0.8</v>
      </c>
      <c r="M28" s="9">
        <f>IF(G28="round",PI()/4*J28^2,H28*I28)*K28*2.4/1000</f>
        <v/>
      </c>
      <c r="N28" s="7" t="n">
        <v>12003</v>
      </c>
      <c r="O28" s="7" t="n">
        <v>58374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SP_U1_0002</t>
        </is>
      </c>
      <c r="D29" s="4" t="n">
        <v>1</v>
      </c>
      <c r="E29" s="4" t="inlineStr">
        <is>
          <t>DDBØ15</t>
        </is>
      </c>
      <c r="F29" s="4" t="inlineStr">
        <is>
          <t>Ceiling</t>
        </is>
      </c>
      <c r="G29" s="4" t="inlineStr">
        <is>
          <t>round</t>
        </is>
      </c>
      <c r="H29" s="4" t="n"/>
      <c r="I29" s="4" t="n"/>
      <c r="J29" s="4" t="n">
        <v>15</v>
      </c>
      <c r="K29" s="4" t="n">
        <v>35</v>
      </c>
      <c r="L29" s="4" t="n">
        <v>-0.8</v>
      </c>
      <c r="M29" s="6">
        <f>IF(G29="round",PI()/4*J29^2,H29*I29)*K29*2.4/1000</f>
        <v/>
      </c>
      <c r="N29" s="4" t="n">
        <v>11275</v>
      </c>
      <c r="O29" s="4" t="n">
        <v>58374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SP_U1_0002</t>
        </is>
      </c>
      <c r="D30" s="4" t="n">
        <v>1</v>
      </c>
      <c r="E30" s="7" t="inlineStr">
        <is>
          <t>DDBØ15</t>
        </is>
      </c>
      <c r="F30" s="7" t="inlineStr">
        <is>
          <t>Ceiling</t>
        </is>
      </c>
      <c r="G30" s="7" t="inlineStr">
        <is>
          <t>round</t>
        </is>
      </c>
      <c r="H30" s="7" t="n"/>
      <c r="I30" s="7" t="n"/>
      <c r="J30" s="7" t="n">
        <v>15</v>
      </c>
      <c r="K30" s="7" t="n">
        <v>60</v>
      </c>
      <c r="L30" s="7" t="n">
        <v>-0.15</v>
      </c>
      <c r="M30" s="9">
        <f>IF(G30="round",PI()/4*J30^2,H30*I30)*K30*2.4/1000</f>
        <v/>
      </c>
      <c r="N30" s="7" t="n">
        <v>9882</v>
      </c>
      <c r="O30" s="7" t="n">
        <v>58374</v>
      </c>
    </row>
    <row r="31">
      <c r="A31" s="4" t="inlineStr">
        <is>
          <t>027</t>
        </is>
      </c>
      <c r="B31" s="4" t="inlineStr">
        <is>
          <t>U1</t>
        </is>
      </c>
      <c r="C31" s="5" t="inlineStr">
        <is>
          <t>SP_U1_0002</t>
        </is>
      </c>
      <c r="D31" s="4" t="n">
        <v>1</v>
      </c>
      <c r="E31" s="4" t="inlineStr">
        <is>
          <t>DDBØ15</t>
        </is>
      </c>
      <c r="F31" s="4" t="inlineStr">
        <is>
          <t>Ceiling</t>
        </is>
      </c>
      <c r="G31" s="4" t="inlineStr">
        <is>
          <t>round</t>
        </is>
      </c>
      <c r="H31" s="4" t="n"/>
      <c r="I31" s="4" t="n"/>
      <c r="J31" s="4" t="n">
        <v>15</v>
      </c>
      <c r="K31" s="4" t="n">
        <v>60</v>
      </c>
      <c r="L31" s="4" t="n">
        <v>-0.15</v>
      </c>
      <c r="M31" s="6">
        <f>IF(G31="round",PI()/4*J31^2,H31*I31)*K31*2.4/1000</f>
        <v/>
      </c>
      <c r="N31" s="4" t="n">
        <v>8784</v>
      </c>
      <c r="O31" s="4" t="n">
        <v>58374</v>
      </c>
    </row>
    <row r="32">
      <c r="A32" s="7" t="inlineStr">
        <is>
          <t>028</t>
        </is>
      </c>
      <c r="B32" s="7" t="inlineStr">
        <is>
          <t>U1</t>
        </is>
      </c>
      <c r="C32" s="8" t="inlineStr">
        <is>
          <t>SP_U1_0002</t>
        </is>
      </c>
      <c r="D32" s="4" t="n">
        <v>1</v>
      </c>
      <c r="E32" s="7" t="inlineStr">
        <is>
          <t>DDBØ10</t>
        </is>
      </c>
      <c r="F32" s="7" t="inlineStr">
        <is>
          <t>Ceiling</t>
        </is>
      </c>
      <c r="G32" s="7" t="inlineStr">
        <is>
          <t>round</t>
        </is>
      </c>
      <c r="H32" s="7" t="n"/>
      <c r="I32" s="7" t="n"/>
      <c r="J32" s="7" t="n">
        <v>10</v>
      </c>
      <c r="K32" s="7" t="n">
        <v>60</v>
      </c>
      <c r="L32" s="7" t="n">
        <v>-0.15</v>
      </c>
      <c r="M32" s="9">
        <f>IF(G32="round",PI()/4*J32^2,H32*I32)*K32*2.4/1000</f>
        <v/>
      </c>
      <c r="N32" s="7" t="n">
        <v>10549</v>
      </c>
      <c r="O32" s="7" t="n">
        <v>59034</v>
      </c>
    </row>
    <row r="33">
      <c r="A33" s="4" t="inlineStr">
        <is>
          <t>029</t>
        </is>
      </c>
      <c r="B33" s="4" t="inlineStr">
        <is>
          <t>U1</t>
        </is>
      </c>
      <c r="C33" s="5" t="inlineStr">
        <is>
          <t>SP_U1_0002</t>
        </is>
      </c>
      <c r="D33" s="4" t="n">
        <v>1</v>
      </c>
      <c r="E33" s="4" t="inlineStr">
        <is>
          <t>DDB25/40</t>
        </is>
      </c>
      <c r="F33" s="4" t="inlineStr">
        <is>
          <t>Ceiling</t>
        </is>
      </c>
      <c r="G33" s="4" t="inlineStr">
        <is>
          <t>rectangular</t>
        </is>
      </c>
      <c r="H33" s="4" t="n">
        <v>25</v>
      </c>
      <c r="I33" s="4" t="n">
        <v>40</v>
      </c>
      <c r="J33" s="4" t="n"/>
      <c r="K33" s="4" t="n">
        <v>30</v>
      </c>
      <c r="L33" s="4" t="n">
        <v>-0.15</v>
      </c>
      <c r="M33" s="6">
        <f>IF(G33="round",PI()/4*J33^2,H33*I33)*K33*2.4/1000</f>
        <v/>
      </c>
      <c r="N33" s="4" t="n">
        <v>23081</v>
      </c>
      <c r="O33" s="4" t="n">
        <v>59145</v>
      </c>
    </row>
    <row r="34">
      <c r="A34" s="7" t="inlineStr">
        <is>
          <t>030</t>
        </is>
      </c>
      <c r="B34" s="7" t="inlineStr">
        <is>
          <t>U1</t>
        </is>
      </c>
      <c r="C34" s="8" t="inlineStr">
        <is>
          <t>SP_U1_0002</t>
        </is>
      </c>
      <c r="D34" s="4" t="n">
        <v>1</v>
      </c>
      <c r="E34" s="7" t="inlineStr">
        <is>
          <t>DDBØ15</t>
        </is>
      </c>
      <c r="F34" s="7" t="inlineStr">
        <is>
          <t>Ceiling</t>
        </is>
      </c>
      <c r="G34" s="7" t="inlineStr">
        <is>
          <t>round</t>
        </is>
      </c>
      <c r="H34" s="7" t="n"/>
      <c r="I34" s="7" t="n"/>
      <c r="J34" s="7" t="n">
        <v>15</v>
      </c>
      <c r="K34" s="7" t="n">
        <v>60</v>
      </c>
      <c r="L34" s="7" t="n">
        <v>-0.15</v>
      </c>
      <c r="M34" s="9">
        <f>IF(G34="round",PI()/4*J34^2,H34*I34)*K34*2.4/1000</f>
        <v/>
      </c>
      <c r="N34" s="7" t="n">
        <v>8204</v>
      </c>
      <c r="O34" s="7" t="n">
        <v>59610</v>
      </c>
    </row>
    <row r="35">
      <c r="A35" s="4" t="inlineStr">
        <is>
          <t>031</t>
        </is>
      </c>
      <c r="B35" s="4" t="inlineStr">
        <is>
          <t>U1</t>
        </is>
      </c>
      <c r="C35" s="5" t="inlineStr">
        <is>
          <t>SP_U1_0002</t>
        </is>
      </c>
      <c r="D35" s="4" t="n">
        <v>1</v>
      </c>
      <c r="E35" s="4" t="inlineStr">
        <is>
          <t>DDBØ15</t>
        </is>
      </c>
      <c r="F35" s="4" t="inlineStr">
        <is>
          <t>Ceiling</t>
        </is>
      </c>
      <c r="G35" s="4" t="inlineStr">
        <is>
          <t>round</t>
        </is>
      </c>
      <c r="H35" s="4" t="n"/>
      <c r="I35" s="4" t="n"/>
      <c r="J35" s="4" t="n">
        <v>15</v>
      </c>
      <c r="K35" s="4" t="n">
        <v>28</v>
      </c>
      <c r="L35" s="4" t="n">
        <v>-0.155</v>
      </c>
      <c r="M35" s="6">
        <f>IF(G35="round",PI()/4*J35^2,H35*I35)*K35*2.4/1000</f>
        <v/>
      </c>
      <c r="N35" s="4" t="n">
        <v>31431</v>
      </c>
      <c r="O35" s="4" t="n">
        <v>60760</v>
      </c>
    </row>
    <row r="36">
      <c r="A36" s="7" t="inlineStr">
        <is>
          <t>032</t>
        </is>
      </c>
      <c r="B36" s="7" t="inlineStr">
        <is>
          <t>U1</t>
        </is>
      </c>
      <c r="C36" s="8" t="inlineStr">
        <is>
          <t>SP_U1_0002</t>
        </is>
      </c>
      <c r="D36" s="4" t="n">
        <v>1</v>
      </c>
      <c r="E36" s="7" t="inlineStr">
        <is>
          <t>DDB25/40</t>
        </is>
      </c>
      <c r="F36" s="7" t="inlineStr">
        <is>
          <t>Ceiling</t>
        </is>
      </c>
      <c r="G36" s="7" t="inlineStr">
        <is>
          <t>rectangular</t>
        </is>
      </c>
      <c r="H36" s="7" t="n">
        <v>25</v>
      </c>
      <c r="I36" s="7" t="n">
        <v>40</v>
      </c>
      <c r="J36" s="7" t="n"/>
      <c r="K36" s="7" t="n">
        <v>30</v>
      </c>
      <c r="L36" s="7" t="n">
        <v>-0.15</v>
      </c>
      <c r="M36" s="9">
        <f>IF(G36="round",PI()/4*J36^2,H36*I36)*K36*2.4/1000</f>
        <v/>
      </c>
      <c r="N36" s="7" t="n">
        <v>22516</v>
      </c>
      <c r="O36" s="7" t="n">
        <v>60781</v>
      </c>
    </row>
    <row r="37">
      <c r="A37" s="4" t="inlineStr">
        <is>
          <t>033</t>
        </is>
      </c>
      <c r="B37" s="4" t="inlineStr">
        <is>
          <t>U1</t>
        </is>
      </c>
      <c r="C37" s="5" t="inlineStr">
        <is>
          <t>SP_U1_0002</t>
        </is>
      </c>
      <c r="D37" s="4" t="n">
        <v>1</v>
      </c>
      <c r="E37" s="4" t="inlineStr">
        <is>
          <t>DDBØ10</t>
        </is>
      </c>
      <c r="F37" s="4" t="inlineStr">
        <is>
          <t>Ceiling</t>
        </is>
      </c>
      <c r="G37" s="4" t="inlineStr">
        <is>
          <t>round</t>
        </is>
      </c>
      <c r="H37" s="4" t="n"/>
      <c r="I37" s="4" t="n"/>
      <c r="J37" s="4" t="n">
        <v>10</v>
      </c>
      <c r="K37" s="4" t="n">
        <v>28</v>
      </c>
      <c r="L37" s="4" t="n">
        <v>-0.155</v>
      </c>
      <c r="M37" s="6">
        <f>IF(G37="round",PI()/4*J37^2,H37*I37)*K37*2.4/1000</f>
        <v/>
      </c>
      <c r="N37" s="4" t="n">
        <v>26779</v>
      </c>
      <c r="O37" s="4" t="n">
        <v>61217</v>
      </c>
    </row>
    <row r="38">
      <c r="A38" s="7" t="inlineStr">
        <is>
          <t>034</t>
        </is>
      </c>
      <c r="B38" s="7" t="inlineStr">
        <is>
          <t>U1</t>
        </is>
      </c>
      <c r="C38" s="8" t="inlineStr">
        <is>
          <t>SP_U1_0002</t>
        </is>
      </c>
      <c r="D38" s="4" t="n">
        <v>1</v>
      </c>
      <c r="E38" s="7" t="inlineStr">
        <is>
          <t>DDBØ10</t>
        </is>
      </c>
      <c r="F38" s="7" t="inlineStr">
        <is>
          <t>Ceiling</t>
        </is>
      </c>
      <c r="G38" s="7" t="inlineStr">
        <is>
          <t>round</t>
        </is>
      </c>
      <c r="H38" s="7" t="n"/>
      <c r="I38" s="7" t="n"/>
      <c r="J38" s="7" t="n">
        <v>10</v>
      </c>
      <c r="K38" s="7" t="n">
        <v>60</v>
      </c>
      <c r="L38" s="7" t="n">
        <v>-0.15</v>
      </c>
      <c r="M38" s="9">
        <f>IF(G38="round",PI()/4*J38^2,H38*I38)*K38*2.4/1000</f>
        <v/>
      </c>
      <c r="N38" s="7" t="n">
        <v>10585</v>
      </c>
      <c r="O38" s="7" t="n">
        <v>61293</v>
      </c>
    </row>
    <row r="39">
      <c r="A39" s="4" t="inlineStr">
        <is>
          <t>035</t>
        </is>
      </c>
      <c r="B39" s="4" t="inlineStr">
        <is>
          <t>U1</t>
        </is>
      </c>
      <c r="C39" s="5" t="inlineStr">
        <is>
          <t>SP_U1_0002</t>
        </is>
      </c>
      <c r="D39" s="4" t="n">
        <v>1</v>
      </c>
      <c r="E39" s="4" t="inlineStr">
        <is>
          <t>DDBØ10</t>
        </is>
      </c>
      <c r="F39" s="4" t="inlineStr">
        <is>
          <t>Ceiling</t>
        </is>
      </c>
      <c r="G39" s="4" t="inlineStr">
        <is>
          <t>round</t>
        </is>
      </c>
      <c r="H39" s="4" t="n"/>
      <c r="I39" s="4" t="n"/>
      <c r="J39" s="4" t="n">
        <v>10</v>
      </c>
      <c r="K39" s="4" t="n">
        <v>30</v>
      </c>
      <c r="L39" s="4" t="n">
        <v>-0.15</v>
      </c>
      <c r="M39" s="6">
        <f>IF(G39="round",PI()/4*J39^2,H39*I39)*K39*2.4/1000</f>
        <v/>
      </c>
      <c r="N39" s="4" t="n">
        <v>20923</v>
      </c>
      <c r="O39" s="4" t="n">
        <v>61663</v>
      </c>
    </row>
    <row r="40">
      <c r="A40" s="7" t="inlineStr">
        <is>
          <t>036</t>
        </is>
      </c>
      <c r="B40" s="7" t="inlineStr">
        <is>
          <t>U1</t>
        </is>
      </c>
      <c r="C40" s="8" t="inlineStr">
        <is>
          <t>SP_U1_0002</t>
        </is>
      </c>
      <c r="D40" s="4" t="n">
        <v>1</v>
      </c>
      <c r="E40" s="7" t="inlineStr">
        <is>
          <t>DDB250/20</t>
        </is>
      </c>
      <c r="F40" s="7" t="inlineStr">
        <is>
          <t>Ceiling</t>
        </is>
      </c>
      <c r="G40" s="7" t="inlineStr">
        <is>
          <t>rectangular</t>
        </is>
      </c>
      <c r="H40" s="7" t="n">
        <v>250</v>
      </c>
      <c r="I40" s="7" t="n">
        <v>20</v>
      </c>
      <c r="J40" s="7" t="n"/>
      <c r="K40" s="7" t="n">
        <v>28</v>
      </c>
      <c r="L40" s="7" t="n">
        <v>-0.155</v>
      </c>
      <c r="M40" s="9">
        <f>IF(G40="round",PI()/4*J40^2,H40*I40)*K40*2.4/1000</f>
        <v/>
      </c>
      <c r="N40" s="7" t="n">
        <v>29373</v>
      </c>
      <c r="O40" s="7" t="n">
        <v>65644</v>
      </c>
    </row>
    <row r="41">
      <c r="A41" s="4" t="inlineStr">
        <is>
          <t>037</t>
        </is>
      </c>
      <c r="B41" s="4" t="inlineStr">
        <is>
          <t>U1</t>
        </is>
      </c>
      <c r="C41" s="5" t="inlineStr">
        <is>
          <t>SP_U1_0002</t>
        </is>
      </c>
      <c r="D41" s="4" t="n">
        <v>1</v>
      </c>
      <c r="E41" s="4" t="inlineStr">
        <is>
          <t>DDBØ10</t>
        </is>
      </c>
      <c r="F41" s="4" t="inlineStr">
        <is>
          <t>Ceiling</t>
        </is>
      </c>
      <c r="G41" s="4" t="inlineStr">
        <is>
          <t>round</t>
        </is>
      </c>
      <c r="H41" s="4" t="n"/>
      <c r="I41" s="4" t="n"/>
      <c r="J41" s="4" t="n">
        <v>10</v>
      </c>
      <c r="K41" s="4" t="n">
        <v>30</v>
      </c>
      <c r="L41" s="4" t="n">
        <v>-0.15</v>
      </c>
      <c r="M41" s="6">
        <f>IF(G41="round",PI()/4*J41^2,H41*I41)*K41*2.4/1000</f>
        <v/>
      </c>
      <c r="N41" s="4" t="n">
        <v>25152</v>
      </c>
      <c r="O41" s="4" t="n">
        <v>66034</v>
      </c>
    </row>
    <row r="42">
      <c r="A42" s="7" t="inlineStr">
        <is>
          <t>038</t>
        </is>
      </c>
      <c r="B42" s="7" t="inlineStr">
        <is>
          <t>U1</t>
        </is>
      </c>
      <c r="C42" s="8" t="inlineStr">
        <is>
          <t>SP_U1_0002</t>
        </is>
      </c>
      <c r="D42" s="4" t="n">
        <v>1</v>
      </c>
      <c r="E42" s="7" t="inlineStr">
        <is>
          <t>DDBØ10</t>
        </is>
      </c>
      <c r="F42" s="7" t="inlineStr">
        <is>
          <t>Ceiling</t>
        </is>
      </c>
      <c r="G42" s="7" t="inlineStr">
        <is>
          <t>round</t>
        </is>
      </c>
      <c r="H42" s="7" t="n"/>
      <c r="I42" s="7" t="n"/>
      <c r="J42" s="7" t="n">
        <v>10</v>
      </c>
      <c r="K42" s="7" t="n">
        <v>30</v>
      </c>
      <c r="L42" s="7" t="n">
        <v>-0.15</v>
      </c>
      <c r="M42" s="9">
        <f>IF(G42="round",PI()/4*J42^2,H42*I42)*K42*2.4/1000</f>
        <v/>
      </c>
      <c r="N42" s="7" t="n">
        <v>22417</v>
      </c>
      <c r="O42" s="7" t="n">
        <v>66034</v>
      </c>
    </row>
    <row r="43">
      <c r="A43" s="4" t="inlineStr">
        <is>
          <t>039</t>
        </is>
      </c>
      <c r="B43" s="4" t="inlineStr">
        <is>
          <t>U1</t>
        </is>
      </c>
      <c r="C43" s="5" t="inlineStr">
        <is>
          <t>SP_U1_0002</t>
        </is>
      </c>
      <c r="D43" s="4" t="n">
        <v>1</v>
      </c>
      <c r="E43" s="4" t="inlineStr">
        <is>
          <t>DDB130/140</t>
        </is>
      </c>
      <c r="F43" s="4" t="inlineStr">
        <is>
          <t>Ceiling</t>
        </is>
      </c>
      <c r="G43" s="4" t="inlineStr">
        <is>
          <t>rectangular</t>
        </is>
      </c>
      <c r="H43" s="4" t="n">
        <v>130</v>
      </c>
      <c r="I43" s="4" t="n">
        <v>140</v>
      </c>
      <c r="J43" s="4" t="n"/>
      <c r="K43" s="4" t="n">
        <v>30</v>
      </c>
      <c r="L43" s="4" t="n">
        <v>-0.15</v>
      </c>
      <c r="M43" s="6">
        <f>IF(G43="round",PI()/4*J43^2,H43*I43)*K43*2.4/1000</f>
        <v/>
      </c>
      <c r="N43" s="4" t="n">
        <v>10088</v>
      </c>
      <c r="O43" s="4" t="n">
        <v>67518</v>
      </c>
    </row>
    <row r="44">
      <c r="A44" s="7" t="inlineStr">
        <is>
          <t>040</t>
        </is>
      </c>
      <c r="B44" s="7" t="inlineStr">
        <is>
          <t>U1</t>
        </is>
      </c>
      <c r="C44" s="8" t="inlineStr">
        <is>
          <t>SP_U1_0002</t>
        </is>
      </c>
      <c r="D44" s="4" t="n">
        <v>1</v>
      </c>
      <c r="E44" s="7" t="inlineStr">
        <is>
          <t>DDB100/270</t>
        </is>
      </c>
      <c r="F44" s="7" t="inlineStr">
        <is>
          <t>Ceiling</t>
        </is>
      </c>
      <c r="G44" s="7" t="inlineStr">
        <is>
          <t>rectangular</t>
        </is>
      </c>
      <c r="H44" s="7" t="n">
        <v>100</v>
      </c>
      <c r="I44" s="7" t="n">
        <v>270</v>
      </c>
      <c r="J44" s="7" t="n"/>
      <c r="K44" s="7" t="n">
        <v>30</v>
      </c>
      <c r="L44" s="7" t="n">
        <v>-0.15</v>
      </c>
      <c r="M44" s="9">
        <f>IF(G44="round",PI()/4*J44^2,H44*I44)*K44*2.4/1000</f>
        <v/>
      </c>
      <c r="N44" s="7" t="n">
        <v>12905</v>
      </c>
      <c r="O44" s="7" t="n">
        <v>67656</v>
      </c>
    </row>
    <row r="45">
      <c r="A45" s="4" t="inlineStr">
        <is>
          <t>041</t>
        </is>
      </c>
      <c r="B45" s="4" t="inlineStr">
        <is>
          <t>U1</t>
        </is>
      </c>
      <c r="C45" s="5" t="inlineStr">
        <is>
          <t>SP_U1_0002</t>
        </is>
      </c>
      <c r="D45" s="4" t="n">
        <v>1</v>
      </c>
      <c r="E45" s="4" t="inlineStr">
        <is>
          <t>DDB55/100</t>
        </is>
      </c>
      <c r="F45" s="4" t="inlineStr">
        <is>
          <t>Ceiling</t>
        </is>
      </c>
      <c r="G45" s="4" t="inlineStr">
        <is>
          <t>rectangular</t>
        </is>
      </c>
      <c r="H45" s="4" t="n">
        <v>55</v>
      </c>
      <c r="I45" s="4" t="n">
        <v>100</v>
      </c>
      <c r="J45" s="4" t="n"/>
      <c r="K45" s="4" t="n">
        <v>30</v>
      </c>
      <c r="L45" s="4" t="n">
        <v>-0.15</v>
      </c>
      <c r="M45" s="6">
        <f>IF(G45="round",PI()/4*J45^2,H45*I45)*K45*2.4/1000</f>
        <v/>
      </c>
      <c r="N45" s="4" t="n">
        <v>6910</v>
      </c>
      <c r="O45" s="4" t="n">
        <v>67874</v>
      </c>
    </row>
    <row r="46">
      <c r="A46" s="7" t="inlineStr">
        <is>
          <t>042</t>
        </is>
      </c>
      <c r="B46" s="7" t="inlineStr">
        <is>
          <t>U1</t>
        </is>
      </c>
      <c r="C46" s="8" t="inlineStr">
        <is>
          <t>SP_U1_0002</t>
        </is>
      </c>
      <c r="D46" s="4" t="n">
        <v>1</v>
      </c>
      <c r="E46" s="7" t="inlineStr">
        <is>
          <t>DDB85/100</t>
        </is>
      </c>
      <c r="F46" s="7" t="inlineStr">
        <is>
          <t>Ceiling</t>
        </is>
      </c>
      <c r="G46" s="7" t="inlineStr">
        <is>
          <t>rectangular</t>
        </is>
      </c>
      <c r="H46" s="7" t="n">
        <v>85</v>
      </c>
      <c r="I46" s="7" t="n">
        <v>100</v>
      </c>
      <c r="J46" s="7" t="n"/>
      <c r="K46" s="7" t="n">
        <v>30</v>
      </c>
      <c r="L46" s="7" t="n">
        <v>-0.15</v>
      </c>
      <c r="M46" s="9">
        <f>IF(G46="round",PI()/4*J46^2,H46*I46)*K46*2.4/1000</f>
        <v/>
      </c>
      <c r="N46" s="7" t="n">
        <v>8984</v>
      </c>
      <c r="O46" s="7" t="n">
        <v>67874</v>
      </c>
    </row>
    <row r="47">
      <c r="A47" s="4" t="inlineStr">
        <is>
          <t>043</t>
        </is>
      </c>
      <c r="B47" s="4" t="inlineStr">
        <is>
          <t>U1</t>
        </is>
      </c>
      <c r="C47" s="5" t="inlineStr">
        <is>
          <t>SP_U1_0002</t>
        </is>
      </c>
      <c r="D47" s="4" t="n">
        <v>1</v>
      </c>
      <c r="E47" s="4" t="inlineStr">
        <is>
          <t>DDB55/25</t>
        </is>
      </c>
      <c r="F47" s="4" t="inlineStr">
        <is>
          <t>Ceiling</t>
        </is>
      </c>
      <c r="G47" s="4" t="inlineStr">
        <is>
          <t>rectangular</t>
        </is>
      </c>
      <c r="H47" s="4" t="n">
        <v>55</v>
      </c>
      <c r="I47" s="4" t="n">
        <v>25</v>
      </c>
      <c r="J47" s="4" t="n"/>
      <c r="K47" s="4" t="n">
        <v>28</v>
      </c>
      <c r="L47" s="4" t="n">
        <v>-0.155</v>
      </c>
      <c r="M47" s="6">
        <f>IF(G47="round",PI()/4*J47^2,H47*I47)*K47*2.4/1000</f>
        <v/>
      </c>
      <c r="N47" s="4" t="n">
        <v>29123</v>
      </c>
      <c r="O47" s="4" t="n">
        <v>68043</v>
      </c>
    </row>
    <row r="48">
      <c r="A48" s="7" t="inlineStr">
        <is>
          <t>044</t>
        </is>
      </c>
      <c r="B48" s="7" t="inlineStr">
        <is>
          <t>U1</t>
        </is>
      </c>
      <c r="C48" s="8" t="inlineStr">
        <is>
          <t>SP_U1_0002</t>
        </is>
      </c>
      <c r="D48" s="4" t="n">
        <v>1</v>
      </c>
      <c r="E48" s="7" t="inlineStr">
        <is>
          <t>DDBØ15</t>
        </is>
      </c>
      <c r="F48" s="7" t="inlineStr">
        <is>
          <t>Ceiling</t>
        </is>
      </c>
      <c r="G48" s="7" t="inlineStr">
        <is>
          <t>round</t>
        </is>
      </c>
      <c r="H48" s="7" t="n"/>
      <c r="I48" s="7" t="n"/>
      <c r="J48" s="7" t="n">
        <v>15</v>
      </c>
      <c r="K48" s="7" t="n">
        <v>28</v>
      </c>
      <c r="L48" s="7" t="n">
        <v>-0.155</v>
      </c>
      <c r="M48" s="9">
        <f>IF(G48="round",PI()/4*J48^2,H48*I48)*K48*2.4/1000</f>
        <v/>
      </c>
      <c r="N48" s="7" t="n">
        <v>28947</v>
      </c>
      <c r="O48" s="7" t="n">
        <v>68473</v>
      </c>
    </row>
    <row r="49">
      <c r="A49" s="4" t="inlineStr">
        <is>
          <t>045</t>
        </is>
      </c>
      <c r="B49" s="4" t="inlineStr">
        <is>
          <t>U1</t>
        </is>
      </c>
      <c r="C49" s="5" t="inlineStr">
        <is>
          <t>SP_U1_0002</t>
        </is>
      </c>
      <c r="D49" s="4" t="n">
        <v>1</v>
      </c>
      <c r="E49" s="4" t="inlineStr">
        <is>
          <t>DDB55/25</t>
        </is>
      </c>
      <c r="F49" s="4" t="inlineStr">
        <is>
          <t>Ceiling</t>
        </is>
      </c>
      <c r="G49" s="4" t="inlineStr">
        <is>
          <t>rectangular</t>
        </is>
      </c>
      <c r="H49" s="4" t="n">
        <v>55</v>
      </c>
      <c r="I49" s="4" t="n">
        <v>25</v>
      </c>
      <c r="J49" s="4" t="n"/>
      <c r="K49" s="4" t="n">
        <v>30</v>
      </c>
      <c r="L49" s="4" t="n">
        <v>-0.15</v>
      </c>
      <c r="M49" s="6">
        <f>IF(G49="round",PI()/4*J49^2,H49*I49)*K49*2.4/1000</f>
        <v/>
      </c>
      <c r="N49" s="4" t="n">
        <v>12421</v>
      </c>
      <c r="O49" s="4" t="n">
        <v>68869</v>
      </c>
    </row>
    <row r="50">
      <c r="A50" s="7" t="inlineStr">
        <is>
          <t>046</t>
        </is>
      </c>
      <c r="B50" s="7" t="inlineStr">
        <is>
          <t>U1</t>
        </is>
      </c>
      <c r="C50" s="8" t="inlineStr">
        <is>
          <t>SP_U1_0002</t>
        </is>
      </c>
      <c r="D50" s="4" t="n">
        <v>1</v>
      </c>
      <c r="E50" s="7" t="inlineStr">
        <is>
          <t>DDB25/100</t>
        </is>
      </c>
      <c r="F50" s="7" t="inlineStr">
        <is>
          <t>Ceiling</t>
        </is>
      </c>
      <c r="G50" s="7" t="inlineStr">
        <is>
          <t>rectangular</t>
        </is>
      </c>
      <c r="H50" s="7" t="n">
        <v>25</v>
      </c>
      <c r="I50" s="7" t="n">
        <v>100</v>
      </c>
      <c r="J50" s="7" t="n"/>
      <c r="K50" s="7" t="n">
        <v>30</v>
      </c>
      <c r="L50" s="7" t="n">
        <v>-0.15</v>
      </c>
      <c r="M50" s="9">
        <f>IF(G50="round",PI()/4*J50^2,H50*I50)*K50*2.4/1000</f>
        <v/>
      </c>
      <c r="N50" s="7" t="n">
        <v>6910</v>
      </c>
      <c r="O50" s="7" t="n">
        <v>69104</v>
      </c>
    </row>
    <row r="51">
      <c r="A51" s="4" t="inlineStr">
        <is>
          <t>047</t>
        </is>
      </c>
      <c r="B51" s="4" t="inlineStr">
        <is>
          <t>U1</t>
        </is>
      </c>
      <c r="C51" s="5" t="inlineStr">
        <is>
          <t>SP_U1_0002</t>
        </is>
      </c>
      <c r="D51" s="4" t="n">
        <v>1</v>
      </c>
      <c r="E51" s="4" t="inlineStr">
        <is>
          <t>DDBØ15</t>
        </is>
      </c>
      <c r="F51" s="4" t="inlineStr">
        <is>
          <t>Ceiling</t>
        </is>
      </c>
      <c r="G51" s="4" t="inlineStr">
        <is>
          <t>round</t>
        </is>
      </c>
      <c r="H51" s="4" t="n"/>
      <c r="I51" s="4" t="n"/>
      <c r="J51" s="4" t="n">
        <v>15</v>
      </c>
      <c r="K51" s="4" t="n">
        <v>30</v>
      </c>
      <c r="L51" s="4" t="n">
        <v>-0.15</v>
      </c>
      <c r="M51" s="6">
        <f>IF(G51="round",PI()/4*J51^2,H51*I51)*K51*2.4/1000</f>
        <v/>
      </c>
      <c r="N51" s="4" t="n">
        <v>13000</v>
      </c>
      <c r="O51" s="4" t="n">
        <v>70159</v>
      </c>
    </row>
    <row r="52">
      <c r="A52" s="7" t="inlineStr">
        <is>
          <t>048</t>
        </is>
      </c>
      <c r="B52" s="7" t="inlineStr">
        <is>
          <t>U1</t>
        </is>
      </c>
      <c r="C52" s="8" t="inlineStr">
        <is>
          <t>SP_U1_0002</t>
        </is>
      </c>
      <c r="D52" s="4" t="n">
        <v>1</v>
      </c>
      <c r="E52" s="7" t="inlineStr">
        <is>
          <t>DDBØ20</t>
        </is>
      </c>
      <c r="F52" s="7" t="inlineStr">
        <is>
          <t>Ceiling</t>
        </is>
      </c>
      <c r="G52" s="7" t="inlineStr">
        <is>
          <t>round</t>
        </is>
      </c>
      <c r="H52" s="7" t="n"/>
      <c r="I52" s="7" t="n"/>
      <c r="J52" s="7" t="n">
        <v>20</v>
      </c>
      <c r="K52" s="7" t="n">
        <v>30</v>
      </c>
      <c r="L52" s="7" t="n">
        <v>-0.15</v>
      </c>
      <c r="M52" s="9">
        <f>IF(G52="round",PI()/4*J52^2,H52*I52)*K52*2.4/1000</f>
        <v/>
      </c>
      <c r="N52" s="7" t="n">
        <v>10236</v>
      </c>
      <c r="O52" s="7" t="n">
        <v>70159</v>
      </c>
    </row>
    <row r="53">
      <c r="A53" s="4" t="inlineStr">
        <is>
          <t>049</t>
        </is>
      </c>
      <c r="B53" s="4" t="inlineStr">
        <is>
          <t>U1</t>
        </is>
      </c>
      <c r="C53" s="5" t="inlineStr">
        <is>
          <t>SP_U1_0002</t>
        </is>
      </c>
      <c r="D53" s="4" t="n">
        <v>1</v>
      </c>
      <c r="E53" s="4" t="inlineStr">
        <is>
          <t>DDB20/50</t>
        </is>
      </c>
      <c r="F53" s="4" t="inlineStr">
        <is>
          <t>Ceiling</t>
        </is>
      </c>
      <c r="G53" s="4" t="inlineStr">
        <is>
          <t>rectangular</t>
        </is>
      </c>
      <c r="H53" s="4" t="n">
        <v>20</v>
      </c>
      <c r="I53" s="4" t="n">
        <v>50</v>
      </c>
      <c r="J53" s="4" t="n"/>
      <c r="K53" s="4" t="n">
        <v>30</v>
      </c>
      <c r="L53" s="4" t="n">
        <v>-0.15</v>
      </c>
      <c r="M53" s="6">
        <f>IF(G53="round",PI()/4*J53^2,H53*I53)*K53*2.4/1000</f>
        <v/>
      </c>
      <c r="N53" s="4" t="n">
        <v>7111</v>
      </c>
      <c r="O53" s="4" t="n">
        <v>73026</v>
      </c>
    </row>
    <row r="54">
      <c r="A54" s="10" t="inlineStr">
        <is>
          <t>TOTAL</t>
        </is>
      </c>
      <c r="M54" s="11">
        <f>SUM(M5:M53)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-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050</t>
        </is>
      </c>
      <c r="B5" s="4" t="inlineStr">
        <is>
          <t>U1</t>
        </is>
      </c>
      <c r="C5" s="5" t="inlineStr">
        <is>
          <t>SP_U1_0002</t>
        </is>
      </c>
      <c r="D5" s="4" t="n">
        <v>1</v>
      </c>
      <c r="E5" s="4" t="inlineStr">
        <is>
          <t>WDB20/40</t>
        </is>
      </c>
      <c r="F5" s="4" t="inlineStr">
        <is>
          <t>Wall</t>
        </is>
      </c>
      <c r="G5" s="4" t="inlineStr">
        <is>
          <t>rectangular</t>
        </is>
      </c>
      <c r="H5" s="4" t="n">
        <v>20</v>
      </c>
      <c r="I5" s="4" t="n">
        <v>40</v>
      </c>
      <c r="J5" s="4" t="n"/>
      <c r="K5" s="4" t="n">
        <v>30</v>
      </c>
      <c r="L5" s="4" t="n"/>
      <c r="M5" s="6">
        <f>IF(G5="round",PI()/4*J5^2,H5*I5)*K5*2.4/1000</f>
        <v/>
      </c>
      <c r="N5" s="4" t="n">
        <v>6010</v>
      </c>
      <c r="O5" s="4" t="n">
        <v>25462</v>
      </c>
    </row>
    <row r="6">
      <c r="A6" s="7" t="inlineStr">
        <is>
          <t>051</t>
        </is>
      </c>
      <c r="B6" s="7" t="inlineStr">
        <is>
          <t>U1</t>
        </is>
      </c>
      <c r="C6" s="8" t="inlineStr">
        <is>
          <t>SP_U1_0002</t>
        </is>
      </c>
      <c r="D6" s="4" t="n">
        <v>1</v>
      </c>
      <c r="E6" s="7" t="inlineStr">
        <is>
          <t>WDB40/20</t>
        </is>
      </c>
      <c r="F6" s="7" t="inlineStr">
        <is>
          <t>Wall</t>
        </is>
      </c>
      <c r="G6" s="7" t="inlineStr">
        <is>
          <t>rectangular</t>
        </is>
      </c>
      <c r="H6" s="7" t="n">
        <v>40</v>
      </c>
      <c r="I6" s="7" t="n">
        <v>20</v>
      </c>
      <c r="J6" s="7" t="n"/>
      <c r="K6" s="7" t="n">
        <v>30</v>
      </c>
      <c r="L6" s="7" t="n"/>
      <c r="M6" s="9">
        <f>IF(G6="round",PI()/4*J6^2,H6*I6)*K6*2.4/1000</f>
        <v/>
      </c>
      <c r="N6" s="7" t="n">
        <v>7057</v>
      </c>
      <c r="O6" s="7" t="n">
        <v>25596</v>
      </c>
    </row>
    <row r="7">
      <c r="A7" s="4" t="inlineStr">
        <is>
          <t>052</t>
        </is>
      </c>
      <c r="B7" s="4" t="inlineStr">
        <is>
          <t>U1</t>
        </is>
      </c>
      <c r="C7" s="5" t="inlineStr">
        <is>
          <t>SP_U1_0002</t>
        </is>
      </c>
      <c r="D7" s="4" t="n">
        <v>1</v>
      </c>
      <c r="E7" s="4" t="inlineStr">
        <is>
          <t>WDBØ40</t>
        </is>
      </c>
      <c r="F7" s="4" t="inlineStr">
        <is>
          <t>Wall</t>
        </is>
      </c>
      <c r="G7" s="4" t="inlineStr">
        <is>
          <t>round</t>
        </is>
      </c>
      <c r="H7" s="4" t="n"/>
      <c r="I7" s="4" t="n"/>
      <c r="J7" s="4" t="n">
        <v>40</v>
      </c>
      <c r="K7" s="4" t="n">
        <v>30</v>
      </c>
      <c r="L7" s="4" t="n"/>
      <c r="M7" s="6">
        <f>IF(G7="round",PI()/4*J7^2,H7*I7)*K7*2.4/1000</f>
        <v/>
      </c>
      <c r="N7" s="4" t="n">
        <v>12171</v>
      </c>
      <c r="O7" s="4" t="n">
        <v>25984</v>
      </c>
    </row>
    <row r="8">
      <c r="A8" s="7" t="inlineStr">
        <is>
          <t>053</t>
        </is>
      </c>
      <c r="B8" s="7" t="inlineStr">
        <is>
          <t>U1</t>
        </is>
      </c>
      <c r="C8" s="8" t="inlineStr">
        <is>
          <t>SP_U1_0002</t>
        </is>
      </c>
      <c r="D8" s="4" t="n">
        <v>1</v>
      </c>
      <c r="E8" s="7" t="inlineStr">
        <is>
          <t>WDBØ35</t>
        </is>
      </c>
      <c r="F8" s="7" t="inlineStr">
        <is>
          <t>Wall</t>
        </is>
      </c>
      <c r="G8" s="7" t="inlineStr">
        <is>
          <t>round</t>
        </is>
      </c>
      <c r="H8" s="7" t="n"/>
      <c r="I8" s="7" t="n"/>
      <c r="J8" s="7" t="n">
        <v>35</v>
      </c>
      <c r="K8" s="7" t="n">
        <v>30</v>
      </c>
      <c r="L8" s="7" t="n"/>
      <c r="M8" s="9">
        <f>IF(G8="round",PI()/4*J8^2,H8*I8)*K8*2.4/1000</f>
        <v/>
      </c>
      <c r="N8" s="7" t="n">
        <v>10757</v>
      </c>
      <c r="O8" s="7" t="n">
        <v>27123</v>
      </c>
    </row>
    <row r="9">
      <c r="A9" s="4" t="inlineStr">
        <is>
          <t>054</t>
        </is>
      </c>
      <c r="B9" s="4" t="inlineStr">
        <is>
          <t>U1</t>
        </is>
      </c>
      <c r="C9" s="5" t="inlineStr">
        <is>
          <t>SP_U1_0002</t>
        </is>
      </c>
      <c r="D9" s="4" t="n">
        <v>1</v>
      </c>
      <c r="E9" s="4" t="inlineStr">
        <is>
          <t>WDBØ8</t>
        </is>
      </c>
      <c r="F9" s="4" t="inlineStr">
        <is>
          <t>Wall</t>
        </is>
      </c>
      <c r="G9" s="4" t="inlineStr">
        <is>
          <t>round</t>
        </is>
      </c>
      <c r="H9" s="4" t="n"/>
      <c r="I9" s="4" t="n"/>
      <c r="J9" s="4" t="n">
        <v>8</v>
      </c>
      <c r="K9" s="4" t="n">
        <v>30</v>
      </c>
      <c r="L9" s="4" t="n"/>
      <c r="M9" s="6">
        <f>IF(G9="round",PI()/4*J9^2,H9*I9)*K9*2.4/1000</f>
        <v/>
      </c>
      <c r="N9" s="4" t="n">
        <v>9362</v>
      </c>
      <c r="O9" s="4" t="n">
        <v>27124</v>
      </c>
    </row>
    <row r="10">
      <c r="A10" s="7" t="inlineStr">
        <is>
          <t>055</t>
        </is>
      </c>
      <c r="B10" s="7" t="inlineStr">
        <is>
          <t>U1</t>
        </is>
      </c>
      <c r="C10" s="8" t="inlineStr">
        <is>
          <t>SP_U1_0002</t>
        </is>
      </c>
      <c r="D10" s="4" t="n">
        <v>1</v>
      </c>
      <c r="E10" s="7" t="inlineStr">
        <is>
          <t>WDB60/20</t>
        </is>
      </c>
      <c r="F10" s="7" t="inlineStr">
        <is>
          <t>Wall</t>
        </is>
      </c>
      <c r="G10" s="7" t="inlineStr">
        <is>
          <t>rectangular</t>
        </is>
      </c>
      <c r="H10" s="7" t="n">
        <v>60</v>
      </c>
      <c r="I10" s="7" t="n">
        <v>20</v>
      </c>
      <c r="J10" s="7" t="n"/>
      <c r="K10" s="7" t="n">
        <v>30</v>
      </c>
      <c r="L10" s="7" t="n"/>
      <c r="M10" s="9">
        <f>IF(G10="round",PI()/4*J10^2,H10*I10)*K10*2.4/1000</f>
        <v/>
      </c>
      <c r="N10" s="7" t="n">
        <v>41055</v>
      </c>
      <c r="O10" s="7" t="n">
        <v>27153</v>
      </c>
    </row>
    <row r="11">
      <c r="A11" s="4" t="inlineStr">
        <is>
          <t>056</t>
        </is>
      </c>
      <c r="B11" s="4" t="inlineStr">
        <is>
          <t>U1</t>
        </is>
      </c>
      <c r="C11" s="5" t="inlineStr">
        <is>
          <t>SP_U1_0002</t>
        </is>
      </c>
      <c r="D11" s="4" t="n">
        <v>1</v>
      </c>
      <c r="E11" s="4" t="inlineStr">
        <is>
          <t>WDBØ24</t>
        </is>
      </c>
      <c r="F11" s="4" t="inlineStr">
        <is>
          <t>Wall</t>
        </is>
      </c>
      <c r="G11" s="4" t="inlineStr">
        <is>
          <t>round</t>
        </is>
      </c>
      <c r="H11" s="4" t="n"/>
      <c r="I11" s="4" t="n"/>
      <c r="J11" s="4" t="n">
        <v>24</v>
      </c>
      <c r="K11" s="4" t="n">
        <v>30</v>
      </c>
      <c r="L11" s="4" t="n"/>
      <c r="M11" s="6">
        <f>IF(G11="round",PI()/4*J11^2,H11*I11)*K11*2.4/1000</f>
        <v/>
      </c>
      <c r="N11" s="4" t="n">
        <v>4081</v>
      </c>
      <c r="O11" s="4" t="n">
        <v>27864</v>
      </c>
    </row>
    <row r="12">
      <c r="A12" s="7" t="inlineStr">
        <is>
          <t>057</t>
        </is>
      </c>
      <c r="B12" s="7" t="inlineStr">
        <is>
          <t>U1</t>
        </is>
      </c>
      <c r="C12" s="8" t="inlineStr">
        <is>
          <t>SP_U1_0002</t>
        </is>
      </c>
      <c r="D12" s="4" t="n">
        <v>1</v>
      </c>
      <c r="E12" s="7" t="inlineStr">
        <is>
          <t>WDBØ30</t>
        </is>
      </c>
      <c r="F12" s="7" t="inlineStr">
        <is>
          <t>Wall</t>
        </is>
      </c>
      <c r="G12" s="7" t="inlineStr">
        <is>
          <t>round</t>
        </is>
      </c>
      <c r="H12" s="7" t="n"/>
      <c r="I12" s="7" t="n"/>
      <c r="J12" s="7" t="n">
        <v>30</v>
      </c>
      <c r="K12" s="7" t="n">
        <v>30</v>
      </c>
      <c r="L12" s="7" t="n"/>
      <c r="M12" s="9">
        <f>IF(G12="round",PI()/4*J12^2,H12*I12)*K12*2.4/1000</f>
        <v/>
      </c>
      <c r="N12" s="7" t="n">
        <v>2557</v>
      </c>
      <c r="O12" s="7" t="n">
        <v>28284</v>
      </c>
    </row>
    <row r="13">
      <c r="A13" s="4" t="inlineStr">
        <is>
          <t>058</t>
        </is>
      </c>
      <c r="B13" s="4" t="inlineStr">
        <is>
          <t>U1</t>
        </is>
      </c>
      <c r="C13" s="5" t="inlineStr">
        <is>
          <t>SP_U1_0002</t>
        </is>
      </c>
      <c r="D13" s="4" t="n">
        <v>1</v>
      </c>
      <c r="E13" s="4" t="inlineStr">
        <is>
          <t>WDBØ30</t>
        </is>
      </c>
      <c r="F13" s="4" t="inlineStr">
        <is>
          <t>Wall</t>
        </is>
      </c>
      <c r="G13" s="4" t="inlineStr">
        <is>
          <t>round</t>
        </is>
      </c>
      <c r="H13" s="4" t="n"/>
      <c r="I13" s="4" t="n"/>
      <c r="J13" s="4" t="n">
        <v>30</v>
      </c>
      <c r="K13" s="4" t="n">
        <v>30</v>
      </c>
      <c r="L13" s="4" t="n"/>
      <c r="M13" s="6">
        <f>IF(G13="round",PI()/4*J13^2,H13*I13)*K13*2.4/1000</f>
        <v/>
      </c>
      <c r="N13" s="4" t="n">
        <v>3616</v>
      </c>
      <c r="O13" s="4" t="n">
        <v>32373</v>
      </c>
    </row>
    <row r="14">
      <c r="A14" s="7" t="inlineStr">
        <is>
          <t>059</t>
        </is>
      </c>
      <c r="B14" s="7" t="inlineStr">
        <is>
          <t>U1</t>
        </is>
      </c>
      <c r="C14" s="8" t="inlineStr">
        <is>
          <t>SP_U1_0002</t>
        </is>
      </c>
      <c r="D14" s="4" t="n">
        <v>1</v>
      </c>
      <c r="E14" s="7" t="inlineStr">
        <is>
          <t>WDB25/10</t>
        </is>
      </c>
      <c r="F14" s="7" t="inlineStr">
        <is>
          <t>Wall</t>
        </is>
      </c>
      <c r="G14" s="7" t="inlineStr">
        <is>
          <t>rectangular</t>
        </is>
      </c>
      <c r="H14" s="7" t="n">
        <v>25</v>
      </c>
      <c r="I14" s="7" t="n">
        <v>10</v>
      </c>
      <c r="J14" s="7" t="n"/>
      <c r="K14" s="7" t="n">
        <v>30</v>
      </c>
      <c r="L14" s="7" t="n"/>
      <c r="M14" s="9">
        <f>IF(G14="round",PI()/4*J14^2,H14*I14)*K14*2.4/1000</f>
        <v/>
      </c>
      <c r="N14" s="7" t="n">
        <v>4695</v>
      </c>
      <c r="O14" s="7" t="n">
        <v>32697</v>
      </c>
    </row>
    <row r="15">
      <c r="A15" s="4" t="inlineStr">
        <is>
          <t>060</t>
        </is>
      </c>
      <c r="B15" s="4" t="inlineStr">
        <is>
          <t>U1</t>
        </is>
      </c>
      <c r="C15" s="5" t="inlineStr">
        <is>
          <t>SP_U1_0002</t>
        </is>
      </c>
      <c r="D15" s="4" t="n">
        <v>1</v>
      </c>
      <c r="E15" s="4" t="inlineStr">
        <is>
          <t>WDBØ15</t>
        </is>
      </c>
      <c r="F15" s="4" t="inlineStr">
        <is>
          <t>Wall</t>
        </is>
      </c>
      <c r="G15" s="4" t="inlineStr">
        <is>
          <t>round</t>
        </is>
      </c>
      <c r="H15" s="4" t="n"/>
      <c r="I15" s="4" t="n"/>
      <c r="J15" s="4" t="n">
        <v>15</v>
      </c>
      <c r="K15" s="4" t="n">
        <v>30</v>
      </c>
      <c r="L15" s="4" t="n"/>
      <c r="M15" s="6">
        <f>IF(G15="round",PI()/4*J15^2,H15*I15)*K15*2.4/1000</f>
        <v/>
      </c>
      <c r="N15" s="4" t="n">
        <v>5135</v>
      </c>
      <c r="O15" s="4" t="n">
        <v>32850</v>
      </c>
    </row>
    <row r="16">
      <c r="A16" s="7" t="inlineStr">
        <is>
          <t>061</t>
        </is>
      </c>
      <c r="B16" s="7" t="inlineStr">
        <is>
          <t>U1</t>
        </is>
      </c>
      <c r="C16" s="8" t="inlineStr">
        <is>
          <t>SP_U1_0002</t>
        </is>
      </c>
      <c r="D16" s="4" t="n">
        <v>1</v>
      </c>
      <c r="E16" s="7" t="inlineStr">
        <is>
          <t>WDB80/80</t>
        </is>
      </c>
      <c r="F16" s="7" t="inlineStr">
        <is>
          <t>Wall</t>
        </is>
      </c>
      <c r="G16" s="7" t="inlineStr">
        <is>
          <t>rectangular</t>
        </is>
      </c>
      <c r="H16" s="7" t="n">
        <v>80</v>
      </c>
      <c r="I16" s="7" t="n">
        <v>80</v>
      </c>
      <c r="J16" s="7" t="n"/>
      <c r="K16" s="7" t="n">
        <v>30</v>
      </c>
      <c r="L16" s="7" t="n"/>
      <c r="M16" s="9">
        <f>IF(G16="round",PI()/4*J16^2,H16*I16)*K16*2.4/1000</f>
        <v/>
      </c>
      <c r="N16" s="7" t="n">
        <v>29125</v>
      </c>
      <c r="O16" s="7" t="n">
        <v>34634</v>
      </c>
    </row>
    <row r="17">
      <c r="A17" s="4" t="inlineStr">
        <is>
          <t>062</t>
        </is>
      </c>
      <c r="B17" s="4" t="inlineStr">
        <is>
          <t>U1</t>
        </is>
      </c>
      <c r="C17" s="5" t="inlineStr">
        <is>
          <t>SP_U1_0002</t>
        </is>
      </c>
      <c r="D17" s="4" t="n">
        <v>1</v>
      </c>
      <c r="E17" s="4" t="inlineStr">
        <is>
          <t>WDB25/10</t>
        </is>
      </c>
      <c r="F17" s="4" t="inlineStr">
        <is>
          <t>Wall</t>
        </is>
      </c>
      <c r="G17" s="4" t="inlineStr">
        <is>
          <t>rectangular</t>
        </is>
      </c>
      <c r="H17" s="4" t="n">
        <v>25</v>
      </c>
      <c r="I17" s="4" t="n">
        <v>10</v>
      </c>
      <c r="J17" s="4" t="n"/>
      <c r="K17" s="4" t="n">
        <v>30</v>
      </c>
      <c r="L17" s="4" t="n"/>
      <c r="M17" s="6">
        <f>IF(G17="round",PI()/4*J17^2,H17*I17)*K17*2.4/1000</f>
        <v/>
      </c>
      <c r="N17" s="4" t="n">
        <v>3616</v>
      </c>
      <c r="O17" s="4" t="n">
        <v>35298</v>
      </c>
    </row>
    <row r="18">
      <c r="A18" s="7" t="inlineStr">
        <is>
          <t>063</t>
        </is>
      </c>
      <c r="B18" s="7" t="inlineStr">
        <is>
          <t>U1</t>
        </is>
      </c>
      <c r="C18" s="8" t="inlineStr">
        <is>
          <t>SP_U1_0002</t>
        </is>
      </c>
      <c r="D18" s="4" t="n">
        <v>1</v>
      </c>
      <c r="E18" s="7" t="inlineStr">
        <is>
          <t>WDBØ34</t>
        </is>
      </c>
      <c r="F18" s="7" t="inlineStr">
        <is>
          <t>Wall</t>
        </is>
      </c>
      <c r="G18" s="7" t="inlineStr">
        <is>
          <t>round</t>
        </is>
      </c>
      <c r="H18" s="7" t="n"/>
      <c r="I18" s="7" t="n"/>
      <c r="J18" s="7" t="n">
        <v>34</v>
      </c>
      <c r="K18" s="7" t="n">
        <v>30</v>
      </c>
      <c r="L18" s="7" t="n"/>
      <c r="M18" s="9">
        <f>IF(G18="round",PI()/4*J18^2,H18*I18)*K18*2.4/1000</f>
        <v/>
      </c>
      <c r="N18" s="7" t="n">
        <v>6446</v>
      </c>
      <c r="O18" s="7" t="n">
        <v>36683</v>
      </c>
    </row>
    <row r="19">
      <c r="A19" s="4" t="inlineStr">
        <is>
          <t>064</t>
        </is>
      </c>
      <c r="B19" s="4" t="inlineStr">
        <is>
          <t>U1</t>
        </is>
      </c>
      <c r="C19" s="5" t="inlineStr">
        <is>
          <t>SP_U1_0002</t>
        </is>
      </c>
      <c r="D19" s="4" t="n">
        <v>1</v>
      </c>
      <c r="E19" s="4" t="inlineStr">
        <is>
          <t>WDB40/20</t>
        </is>
      </c>
      <c r="F19" s="4" t="inlineStr">
        <is>
          <t>Wall</t>
        </is>
      </c>
      <c r="G19" s="4" t="inlineStr">
        <is>
          <t>rectangular</t>
        </is>
      </c>
      <c r="H19" s="4" t="n">
        <v>40</v>
      </c>
      <c r="I19" s="4" t="n">
        <v>20</v>
      </c>
      <c r="J19" s="4" t="n"/>
      <c r="K19" s="4" t="n">
        <v>30</v>
      </c>
      <c r="L19" s="4" t="n"/>
      <c r="M19" s="6">
        <f>IF(G19="round",PI()/4*J19^2,H19*I19)*K19*2.4/1000</f>
        <v/>
      </c>
      <c r="N19" s="4" t="n">
        <v>6918</v>
      </c>
      <c r="O19" s="4" t="n">
        <v>36685</v>
      </c>
    </row>
    <row r="20">
      <c r="A20" s="7" t="inlineStr">
        <is>
          <t>065</t>
        </is>
      </c>
      <c r="B20" s="7" t="inlineStr">
        <is>
          <t>U1</t>
        </is>
      </c>
      <c r="C20" s="8" t="inlineStr">
        <is>
          <t>SP_U1_0002</t>
        </is>
      </c>
      <c r="D20" s="4" t="n">
        <v>1</v>
      </c>
      <c r="E20" s="7" t="inlineStr">
        <is>
          <t>WDB44/29</t>
        </is>
      </c>
      <c r="F20" s="7" t="inlineStr">
        <is>
          <t>Wall</t>
        </is>
      </c>
      <c r="G20" s="7" t="inlineStr">
        <is>
          <t>rectangular</t>
        </is>
      </c>
      <c r="H20" s="7" t="n">
        <v>44</v>
      </c>
      <c r="I20" s="7" t="n">
        <v>29</v>
      </c>
      <c r="J20" s="7" t="n"/>
      <c r="K20" s="7" t="n">
        <v>30</v>
      </c>
      <c r="L20" s="7" t="n"/>
      <c r="M20" s="9">
        <f>IF(G20="round",PI()/4*J20^2,H20*I20)*K20*2.4/1000</f>
        <v/>
      </c>
      <c r="N20" s="7" t="n">
        <v>4158</v>
      </c>
      <c r="O20" s="7" t="n">
        <v>37688</v>
      </c>
    </row>
    <row r="21">
      <c r="A21" s="4" t="inlineStr">
        <is>
          <t>066</t>
        </is>
      </c>
      <c r="B21" s="4" t="inlineStr">
        <is>
          <t>U1</t>
        </is>
      </c>
      <c r="C21" s="5" t="inlineStr">
        <is>
          <t>SP_U1_0002</t>
        </is>
      </c>
      <c r="D21" s="4" t="n">
        <v>1</v>
      </c>
      <c r="E21" s="4" t="inlineStr">
        <is>
          <t>WDB55/55</t>
        </is>
      </c>
      <c r="F21" s="4" t="inlineStr">
        <is>
          <t>Wall</t>
        </is>
      </c>
      <c r="G21" s="4" t="inlineStr">
        <is>
          <t>rectangular</t>
        </is>
      </c>
      <c r="H21" s="4" t="n">
        <v>55</v>
      </c>
      <c r="I21" s="4" t="n">
        <v>55</v>
      </c>
      <c r="J21" s="4" t="n"/>
      <c r="K21" s="4" t="n">
        <v>30</v>
      </c>
      <c r="L21" s="4" t="n"/>
      <c r="M21" s="6">
        <f>IF(G21="round",PI()/4*J21^2,H21*I21)*K21*2.4/1000</f>
        <v/>
      </c>
      <c r="N21" s="4" t="n">
        <v>6056</v>
      </c>
      <c r="O21" s="4" t="n">
        <v>37688</v>
      </c>
    </row>
    <row r="22">
      <c r="A22" s="7" t="inlineStr">
        <is>
          <t>067</t>
        </is>
      </c>
      <c r="B22" s="7" t="inlineStr">
        <is>
          <t>U1</t>
        </is>
      </c>
      <c r="C22" s="8" t="inlineStr">
        <is>
          <t>SP_U1_0002</t>
        </is>
      </c>
      <c r="D22" s="4" t="n">
        <v>1</v>
      </c>
      <c r="E22" s="7" t="inlineStr">
        <is>
          <t>WDBØ15</t>
        </is>
      </c>
      <c r="F22" s="7" t="inlineStr">
        <is>
          <t>Wall</t>
        </is>
      </c>
      <c r="G22" s="7" t="inlineStr">
        <is>
          <t>round</t>
        </is>
      </c>
      <c r="H22" s="7" t="n"/>
      <c r="I22" s="7" t="n"/>
      <c r="J22" s="7" t="n">
        <v>15</v>
      </c>
      <c r="K22" s="7" t="n">
        <v>30</v>
      </c>
      <c r="L22" s="7" t="n"/>
      <c r="M22" s="9">
        <f>IF(G22="round",PI()/4*J22^2,H22*I22)*K22*2.4/1000</f>
        <v/>
      </c>
      <c r="N22" s="7" t="n">
        <v>20841</v>
      </c>
      <c r="O22" s="7" t="n">
        <v>43454</v>
      </c>
    </row>
    <row r="23">
      <c r="A23" s="4" t="inlineStr">
        <is>
          <t>068</t>
        </is>
      </c>
      <c r="B23" s="4" t="inlineStr">
        <is>
          <t>U1</t>
        </is>
      </c>
      <c r="C23" s="5" t="inlineStr">
        <is>
          <t>SP_U1_0002</t>
        </is>
      </c>
      <c r="D23" s="4" t="n">
        <v>1</v>
      </c>
      <c r="E23" s="4" t="inlineStr">
        <is>
          <t>WDB52/30</t>
        </is>
      </c>
      <c r="F23" s="4" t="inlineStr">
        <is>
          <t>Wall</t>
        </is>
      </c>
      <c r="G23" s="4" t="inlineStr">
        <is>
          <t>rectangular</t>
        </is>
      </c>
      <c r="H23" s="4" t="n">
        <v>52</v>
      </c>
      <c r="I23" s="4" t="n">
        <v>30</v>
      </c>
      <c r="J23" s="4" t="n"/>
      <c r="K23" s="4" t="n">
        <v>30</v>
      </c>
      <c r="L23" s="4" t="n"/>
      <c r="M23" s="6">
        <f>IF(G23="round",PI()/4*J23^2,H23*I23)*K23*2.4/1000</f>
        <v/>
      </c>
      <c r="N23" s="4" t="n">
        <v>29921</v>
      </c>
      <c r="O23" s="4" t="n">
        <v>59582</v>
      </c>
    </row>
    <row r="24">
      <c r="A24" s="7" t="inlineStr">
        <is>
          <t>069</t>
        </is>
      </c>
      <c r="B24" s="7" t="inlineStr">
        <is>
          <t>U1</t>
        </is>
      </c>
      <c r="C24" s="8" t="inlineStr">
        <is>
          <t>SP_U1_0002</t>
        </is>
      </c>
      <c r="D24" s="4" t="n">
        <v>1</v>
      </c>
      <c r="E24" s="7" t="inlineStr">
        <is>
          <t>WDBØ23</t>
        </is>
      </c>
      <c r="F24" s="7" t="inlineStr">
        <is>
          <t>Wall</t>
        </is>
      </c>
      <c r="G24" s="7" t="inlineStr">
        <is>
          <t>round</t>
        </is>
      </c>
      <c r="H24" s="7" t="n"/>
      <c r="I24" s="7" t="n"/>
      <c r="J24" s="7" t="n">
        <v>23</v>
      </c>
      <c r="K24" s="7" t="n">
        <v>30</v>
      </c>
      <c r="L24" s="7" t="n"/>
      <c r="M24" s="9">
        <f>IF(G24="round",PI()/4*J24^2,H24*I24)*K24*2.4/1000</f>
        <v/>
      </c>
      <c r="N24" s="7" t="n">
        <v>25140</v>
      </c>
      <c r="O24" s="7" t="n">
        <v>59643</v>
      </c>
    </row>
    <row r="25">
      <c r="A25" s="4" t="inlineStr">
        <is>
          <t>070</t>
        </is>
      </c>
      <c r="B25" s="4" t="inlineStr">
        <is>
          <t>U1</t>
        </is>
      </c>
      <c r="C25" s="5" t="inlineStr">
        <is>
          <t>SP_U1_0002</t>
        </is>
      </c>
      <c r="D25" s="4" t="n">
        <v>1</v>
      </c>
      <c r="E25" s="4" t="inlineStr">
        <is>
          <t>WDB60/20</t>
        </is>
      </c>
      <c r="F25" s="4" t="inlineStr">
        <is>
          <t>Wall</t>
        </is>
      </c>
      <c r="G25" s="4" t="inlineStr">
        <is>
          <t>rectangular</t>
        </is>
      </c>
      <c r="H25" s="4" t="n">
        <v>60</v>
      </c>
      <c r="I25" s="4" t="n">
        <v>20</v>
      </c>
      <c r="J25" s="4" t="n"/>
      <c r="K25" s="4" t="n">
        <v>30</v>
      </c>
      <c r="L25" s="4" t="n"/>
      <c r="M25" s="6">
        <f>IF(G25="round",PI()/4*J25^2,H25*I25)*K25*2.4/1000</f>
        <v/>
      </c>
      <c r="N25" s="4" t="n">
        <v>28776</v>
      </c>
      <c r="O25" s="4" t="n">
        <v>59868</v>
      </c>
    </row>
    <row r="26">
      <c r="A26" s="7" t="inlineStr">
        <is>
          <t>071</t>
        </is>
      </c>
      <c r="B26" s="7" t="inlineStr">
        <is>
          <t>U1</t>
        </is>
      </c>
      <c r="C26" s="8" t="inlineStr">
        <is>
          <t>SP_U1_0002</t>
        </is>
      </c>
      <c r="D26" s="4" t="n">
        <v>1</v>
      </c>
      <c r="E26" s="7" t="inlineStr">
        <is>
          <t>WDB75/36</t>
        </is>
      </c>
      <c r="F26" s="7" t="inlineStr">
        <is>
          <t>Wall</t>
        </is>
      </c>
      <c r="G26" s="7" t="inlineStr">
        <is>
          <t>rectangular</t>
        </is>
      </c>
      <c r="H26" s="7" t="n">
        <v>75</v>
      </c>
      <c r="I26" s="7" t="n">
        <v>36</v>
      </c>
      <c r="J26" s="7" t="n"/>
      <c r="K26" s="7" t="n">
        <v>30</v>
      </c>
      <c r="L26" s="7" t="n"/>
      <c r="M26" s="9">
        <f>IF(G26="round",PI()/4*J26^2,H26*I26)*K26*2.4/1000</f>
        <v/>
      </c>
      <c r="N26" s="7" t="n">
        <v>14161</v>
      </c>
      <c r="O26" s="7" t="n">
        <v>60848</v>
      </c>
    </row>
    <row r="27">
      <c r="A27" s="4" t="inlineStr">
        <is>
          <t>072</t>
        </is>
      </c>
      <c r="B27" s="4" t="inlineStr">
        <is>
          <t>U1</t>
        </is>
      </c>
      <c r="C27" s="5" t="inlineStr">
        <is>
          <t>SP_U1_0002</t>
        </is>
      </c>
      <c r="D27" s="4" t="n">
        <v>1</v>
      </c>
      <c r="E27" s="4" t="inlineStr">
        <is>
          <t>WDB115/80</t>
        </is>
      </c>
      <c r="F27" s="4" t="inlineStr">
        <is>
          <t>Wall</t>
        </is>
      </c>
      <c r="G27" s="4" t="inlineStr">
        <is>
          <t>rectangular</t>
        </is>
      </c>
      <c r="H27" s="4" t="n">
        <v>115</v>
      </c>
      <c r="I27" s="4" t="n">
        <v>80</v>
      </c>
      <c r="J27" s="4" t="n"/>
      <c r="K27" s="4" t="n">
        <v>30</v>
      </c>
      <c r="L27" s="4" t="n"/>
      <c r="M27" s="6">
        <f>IF(G27="round",PI()/4*J27^2,H27*I27)*K27*2.4/1000</f>
        <v/>
      </c>
      <c r="N27" s="4" t="n">
        <v>32140</v>
      </c>
      <c r="O27" s="4" t="n">
        <v>60858</v>
      </c>
    </row>
    <row r="28">
      <c r="A28" s="7" t="inlineStr">
        <is>
          <t>073</t>
        </is>
      </c>
      <c r="B28" s="7" t="inlineStr">
        <is>
          <t>U1</t>
        </is>
      </c>
      <c r="C28" s="8" t="inlineStr">
        <is>
          <t>SP_U1_0002</t>
        </is>
      </c>
      <c r="D28" s="4" t="n">
        <v>1</v>
      </c>
      <c r="E28" s="7" t="inlineStr">
        <is>
          <t>WDBØ20</t>
        </is>
      </c>
      <c r="F28" s="7" t="inlineStr">
        <is>
          <t>Wall</t>
        </is>
      </c>
      <c r="G28" s="7" t="inlineStr">
        <is>
          <t>round</t>
        </is>
      </c>
      <c r="H28" s="7" t="n"/>
      <c r="I28" s="7" t="n"/>
      <c r="J28" s="7" t="n">
        <v>20</v>
      </c>
      <c r="K28" s="7" t="n">
        <v>30</v>
      </c>
      <c r="L28" s="7" t="n"/>
      <c r="M28" s="9">
        <f>IF(G28="round",PI()/4*J28^2,H28*I28)*K28*2.4/1000</f>
        <v/>
      </c>
      <c r="N28" s="7" t="n">
        <v>16561</v>
      </c>
      <c r="O28" s="7" t="n">
        <v>60932</v>
      </c>
    </row>
    <row r="29">
      <c r="A29" s="4" t="inlineStr">
        <is>
          <t>074</t>
        </is>
      </c>
      <c r="B29" s="4" t="inlineStr">
        <is>
          <t>U1</t>
        </is>
      </c>
      <c r="C29" s="5" t="inlineStr">
        <is>
          <t>SP_U1_0002</t>
        </is>
      </c>
      <c r="D29" s="4" t="n">
        <v>1</v>
      </c>
      <c r="E29" s="4" t="inlineStr">
        <is>
          <t>WDBØ10</t>
        </is>
      </c>
      <c r="F29" s="4" t="inlineStr">
        <is>
          <t>Wall</t>
        </is>
      </c>
      <c r="G29" s="4" t="inlineStr">
        <is>
          <t>round</t>
        </is>
      </c>
      <c r="H29" s="4" t="n"/>
      <c r="I29" s="4" t="n"/>
      <c r="J29" s="4" t="n">
        <v>10</v>
      </c>
      <c r="K29" s="4" t="n">
        <v>30</v>
      </c>
      <c r="L29" s="4" t="n"/>
      <c r="M29" s="6">
        <f>IF(G29="round",PI()/4*J29^2,H29*I29)*K29*2.4/1000</f>
        <v/>
      </c>
      <c r="N29" s="4" t="n">
        <v>26295</v>
      </c>
      <c r="O29" s="4" t="n">
        <v>60932</v>
      </c>
    </row>
    <row r="30">
      <c r="A30" s="7" t="inlineStr">
        <is>
          <t>075</t>
        </is>
      </c>
      <c r="B30" s="7" t="inlineStr">
        <is>
          <t>U1</t>
        </is>
      </c>
      <c r="C30" s="8" t="inlineStr">
        <is>
          <t>SP_U1_0002</t>
        </is>
      </c>
      <c r="D30" s="4" t="n">
        <v>1</v>
      </c>
      <c r="E30" s="7" t="inlineStr">
        <is>
          <t>WDBØ15</t>
        </is>
      </c>
      <c r="F30" s="7" t="inlineStr">
        <is>
          <t>Wall</t>
        </is>
      </c>
      <c r="G30" s="7" t="inlineStr">
        <is>
          <t>round</t>
        </is>
      </c>
      <c r="H30" s="7" t="n"/>
      <c r="I30" s="7" t="n"/>
      <c r="J30" s="7" t="n">
        <v>15</v>
      </c>
      <c r="K30" s="7" t="n">
        <v>30</v>
      </c>
      <c r="L30" s="7" t="n"/>
      <c r="M30" s="9">
        <f>IF(G30="round",PI()/4*J30^2,H30*I30)*K30*2.4/1000</f>
        <v/>
      </c>
      <c r="N30" s="7" t="n">
        <v>11890</v>
      </c>
      <c r="O30" s="7" t="n">
        <v>61076</v>
      </c>
    </row>
    <row r="31">
      <c r="A31" s="4" t="inlineStr">
        <is>
          <t>076</t>
        </is>
      </c>
      <c r="B31" s="4" t="inlineStr">
        <is>
          <t>U1</t>
        </is>
      </c>
      <c r="C31" s="5" t="inlineStr">
        <is>
          <t>SP_U1_0002</t>
        </is>
      </c>
      <c r="D31" s="4" t="n">
        <v>1</v>
      </c>
      <c r="E31" s="4" t="inlineStr">
        <is>
          <t>WDBØ10</t>
        </is>
      </c>
      <c r="F31" s="4" t="inlineStr">
        <is>
          <t>Wall</t>
        </is>
      </c>
      <c r="G31" s="4" t="inlineStr">
        <is>
          <t>round</t>
        </is>
      </c>
      <c r="H31" s="4" t="n"/>
      <c r="I31" s="4" t="n"/>
      <c r="J31" s="4" t="n">
        <v>10</v>
      </c>
      <c r="K31" s="4" t="n">
        <v>30</v>
      </c>
      <c r="L31" s="4" t="n"/>
      <c r="M31" s="6">
        <f>IF(G31="round",PI()/4*J31^2,H31*I31)*K31*2.4/1000</f>
        <v/>
      </c>
      <c r="N31" s="4" t="n">
        <v>10869</v>
      </c>
      <c r="O31" s="4" t="n">
        <v>61076</v>
      </c>
    </row>
    <row r="32">
      <c r="A32" s="7" t="inlineStr">
        <is>
          <t>077</t>
        </is>
      </c>
      <c r="B32" s="7" t="inlineStr">
        <is>
          <t>U1</t>
        </is>
      </c>
      <c r="C32" s="8" t="inlineStr">
        <is>
          <t>SP_U1_0002</t>
        </is>
      </c>
      <c r="D32" s="4" t="n">
        <v>1</v>
      </c>
      <c r="E32" s="7" t="inlineStr">
        <is>
          <t>WDB40/20</t>
        </is>
      </c>
      <c r="F32" s="7" t="inlineStr">
        <is>
          <t>Wall</t>
        </is>
      </c>
      <c r="G32" s="7" t="inlineStr">
        <is>
          <t>rectangular</t>
        </is>
      </c>
      <c r="H32" s="7" t="n">
        <v>40</v>
      </c>
      <c r="I32" s="7" t="n">
        <v>20</v>
      </c>
      <c r="J32" s="7" t="n"/>
      <c r="K32" s="7" t="n">
        <v>30</v>
      </c>
      <c r="L32" s="7" t="n"/>
      <c r="M32" s="9">
        <f>IF(G32="round",PI()/4*J32^2,H32*I32)*K32*2.4/1000</f>
        <v/>
      </c>
      <c r="N32" s="7" t="n">
        <v>6465</v>
      </c>
      <c r="O32" s="7" t="n">
        <v>63805</v>
      </c>
    </row>
    <row r="33">
      <c r="A33" s="4" t="inlineStr">
        <is>
          <t>078</t>
        </is>
      </c>
      <c r="B33" s="4" t="inlineStr">
        <is>
          <t>U1</t>
        </is>
      </c>
      <c r="C33" s="5" t="inlineStr">
        <is>
          <t>SP_U1_0002</t>
        </is>
      </c>
      <c r="D33" s="4" t="n">
        <v>1</v>
      </c>
      <c r="E33" s="4" t="inlineStr">
        <is>
          <t>WDB30/20</t>
        </is>
      </c>
      <c r="F33" s="4" t="inlineStr">
        <is>
          <t>Wall</t>
        </is>
      </c>
      <c r="G33" s="4" t="inlineStr">
        <is>
          <t>rectangular</t>
        </is>
      </c>
      <c r="H33" s="4" t="n">
        <v>30</v>
      </c>
      <c r="I33" s="4" t="n">
        <v>20</v>
      </c>
      <c r="J33" s="4" t="n"/>
      <c r="K33" s="4" t="n">
        <v>30</v>
      </c>
      <c r="L33" s="4" t="n"/>
      <c r="M33" s="6">
        <f>IF(G33="round",PI()/4*J33^2,H33*I33)*K33*2.4/1000</f>
        <v/>
      </c>
      <c r="N33" s="4" t="n">
        <v>12387</v>
      </c>
      <c r="O33" s="4" t="n">
        <v>63877</v>
      </c>
    </row>
    <row r="34">
      <c r="A34" s="7" t="inlineStr">
        <is>
          <t>079</t>
        </is>
      </c>
      <c r="B34" s="7" t="inlineStr">
        <is>
          <t>U1</t>
        </is>
      </c>
      <c r="C34" s="8" t="inlineStr">
        <is>
          <t>SP_U1_0002</t>
        </is>
      </c>
      <c r="D34" s="4" t="n">
        <v>1</v>
      </c>
      <c r="E34" s="7" t="inlineStr">
        <is>
          <t>WDB30/20</t>
        </is>
      </c>
      <c r="F34" s="7" t="inlineStr">
        <is>
          <t>Wall</t>
        </is>
      </c>
      <c r="G34" s="7" t="inlineStr">
        <is>
          <t>rectangular</t>
        </is>
      </c>
      <c r="H34" s="7" t="n">
        <v>30</v>
      </c>
      <c r="I34" s="7" t="n">
        <v>20</v>
      </c>
      <c r="J34" s="7" t="n"/>
      <c r="K34" s="7" t="n">
        <v>30</v>
      </c>
      <c r="L34" s="7" t="n"/>
      <c r="M34" s="9">
        <f>IF(G34="round",PI()/4*J34^2,H34*I34)*K34*2.4/1000</f>
        <v/>
      </c>
      <c r="N34" s="7" t="n">
        <v>27772</v>
      </c>
      <c r="O34" s="7" t="n">
        <v>64025</v>
      </c>
    </row>
    <row r="35">
      <c r="A35" s="4" t="inlineStr">
        <is>
          <t>080</t>
        </is>
      </c>
      <c r="B35" s="4" t="inlineStr">
        <is>
          <t>U1</t>
        </is>
      </c>
      <c r="C35" s="5" t="inlineStr">
        <is>
          <t>SP_U1_0002</t>
        </is>
      </c>
      <c r="D35" s="4" t="n">
        <v>1</v>
      </c>
      <c r="E35" s="4" t="inlineStr">
        <is>
          <t>WDBØ6</t>
        </is>
      </c>
      <c r="F35" s="4" t="inlineStr">
        <is>
          <t>Wall</t>
        </is>
      </c>
      <c r="G35" s="4" t="inlineStr">
        <is>
          <t>round</t>
        </is>
      </c>
      <c r="H35" s="4" t="n"/>
      <c r="I35" s="4" t="n"/>
      <c r="J35" s="4" t="n">
        <v>6</v>
      </c>
      <c r="K35" s="4" t="n">
        <v>30</v>
      </c>
      <c r="L35" s="4" t="n"/>
      <c r="M35" s="6">
        <f>IF(G35="round",PI()/4*J35^2,H35*I35)*K35*2.4/1000</f>
        <v/>
      </c>
      <c r="N35" s="4" t="n">
        <v>20756</v>
      </c>
      <c r="O35" s="4" t="n">
        <v>64136</v>
      </c>
    </row>
    <row r="36">
      <c r="A36" s="7" t="inlineStr">
        <is>
          <t>081</t>
        </is>
      </c>
      <c r="B36" s="7" t="inlineStr">
        <is>
          <t>U1</t>
        </is>
      </c>
      <c r="C36" s="8" t="inlineStr">
        <is>
          <t>SP_U1_0002</t>
        </is>
      </c>
      <c r="D36" s="4" t="n">
        <v>1</v>
      </c>
      <c r="E36" s="7" t="inlineStr">
        <is>
          <t>WDBØ30</t>
        </is>
      </c>
      <c r="F36" s="7" t="inlineStr">
        <is>
          <t>Wall</t>
        </is>
      </c>
      <c r="G36" s="7" t="inlineStr">
        <is>
          <t>round</t>
        </is>
      </c>
      <c r="H36" s="7" t="n"/>
      <c r="I36" s="7" t="n"/>
      <c r="J36" s="7" t="n">
        <v>30</v>
      </c>
      <c r="K36" s="7" t="n">
        <v>30</v>
      </c>
      <c r="L36" s="7" t="n"/>
      <c r="M36" s="9">
        <f>IF(G36="round",PI()/4*J36^2,H36*I36)*K36*2.4/1000</f>
        <v/>
      </c>
      <c r="N36" s="7" t="n">
        <v>26640</v>
      </c>
      <c r="O36" s="7" t="n">
        <v>64170</v>
      </c>
    </row>
    <row r="37">
      <c r="A37" s="4" t="inlineStr">
        <is>
          <t>082</t>
        </is>
      </c>
      <c r="B37" s="4" t="inlineStr">
        <is>
          <t>U1</t>
        </is>
      </c>
      <c r="C37" s="5" t="inlineStr">
        <is>
          <t>SP_U1_0002</t>
        </is>
      </c>
      <c r="D37" s="4" t="n">
        <v>1</v>
      </c>
      <c r="E37" s="4" t="inlineStr">
        <is>
          <t>WDBØ10</t>
        </is>
      </c>
      <c r="F37" s="4" t="inlineStr">
        <is>
          <t>Wall</t>
        </is>
      </c>
      <c r="G37" s="4" t="inlineStr">
        <is>
          <t>round</t>
        </is>
      </c>
      <c r="H37" s="4" t="n"/>
      <c r="I37" s="4" t="n"/>
      <c r="J37" s="4" t="n">
        <v>10</v>
      </c>
      <c r="K37" s="4" t="n">
        <v>30</v>
      </c>
      <c r="L37" s="4" t="n"/>
      <c r="M37" s="6">
        <f>IF(G37="round",PI()/4*J37^2,H37*I37)*K37*2.4/1000</f>
        <v/>
      </c>
      <c r="N37" s="4" t="n">
        <v>26147</v>
      </c>
      <c r="O37" s="4" t="n">
        <v>64170</v>
      </c>
    </row>
    <row r="38">
      <c r="A38" s="7" t="inlineStr">
        <is>
          <t>083</t>
        </is>
      </c>
      <c r="B38" s="7" t="inlineStr">
        <is>
          <t>U1</t>
        </is>
      </c>
      <c r="C38" s="8" t="inlineStr">
        <is>
          <t>SP_U1_0002</t>
        </is>
      </c>
      <c r="D38" s="4" t="n">
        <v>1</v>
      </c>
      <c r="E38" s="7" t="inlineStr">
        <is>
          <t>WDBØ30</t>
        </is>
      </c>
      <c r="F38" s="7" t="inlineStr">
        <is>
          <t>Wall</t>
        </is>
      </c>
      <c r="G38" s="7" t="inlineStr">
        <is>
          <t>round</t>
        </is>
      </c>
      <c r="H38" s="7" t="n"/>
      <c r="I38" s="7" t="n"/>
      <c r="J38" s="7" t="n">
        <v>30</v>
      </c>
      <c r="K38" s="7" t="n">
        <v>30</v>
      </c>
      <c r="L38" s="7" t="n"/>
      <c r="M38" s="9">
        <f>IF(G38="round",PI()/4*J38^2,H38*I38)*K38*2.4/1000</f>
        <v/>
      </c>
      <c r="N38" s="7" t="n">
        <v>25140</v>
      </c>
      <c r="O38" s="7" t="n">
        <v>64170</v>
      </c>
    </row>
    <row r="39">
      <c r="A39" s="4" t="inlineStr">
        <is>
          <t>084</t>
        </is>
      </c>
      <c r="B39" s="4" t="inlineStr">
        <is>
          <t>U1</t>
        </is>
      </c>
      <c r="C39" s="5" t="inlineStr">
        <is>
          <t>SP_U1_0002</t>
        </is>
      </c>
      <c r="D39" s="4" t="n">
        <v>1</v>
      </c>
      <c r="E39" s="4" t="inlineStr">
        <is>
          <t>WDBØ15</t>
        </is>
      </c>
      <c r="F39" s="4" t="inlineStr">
        <is>
          <t>Wall</t>
        </is>
      </c>
      <c r="G39" s="4" t="inlineStr">
        <is>
          <t>round</t>
        </is>
      </c>
      <c r="H39" s="4" t="n"/>
      <c r="I39" s="4" t="n"/>
      <c r="J39" s="4" t="n">
        <v>15</v>
      </c>
      <c r="K39" s="4" t="n">
        <v>30</v>
      </c>
      <c r="L39" s="4" t="n"/>
      <c r="M39" s="6">
        <f>IF(G39="round",PI()/4*J39^2,H39*I39)*K39*2.4/1000</f>
        <v/>
      </c>
      <c r="N39" s="4" t="n">
        <v>20149</v>
      </c>
      <c r="O39" s="4" t="n">
        <v>64170</v>
      </c>
    </row>
    <row r="40">
      <c r="A40" s="7" t="inlineStr">
        <is>
          <t>085</t>
        </is>
      </c>
      <c r="B40" s="7" t="inlineStr">
        <is>
          <t>U1</t>
        </is>
      </c>
      <c r="C40" s="8" t="inlineStr">
        <is>
          <t>SP_U1_0002</t>
        </is>
      </c>
      <c r="D40" s="4" t="n">
        <v>1</v>
      </c>
      <c r="E40" s="7" t="inlineStr">
        <is>
          <t>WDB112/75</t>
        </is>
      </c>
      <c r="F40" s="7" t="inlineStr">
        <is>
          <t>Wall</t>
        </is>
      </c>
      <c r="G40" s="7" t="inlineStr">
        <is>
          <t>rectangular</t>
        </is>
      </c>
      <c r="H40" s="7" t="n">
        <v>112</v>
      </c>
      <c r="I40" s="7" t="n">
        <v>75</v>
      </c>
      <c r="J40" s="7" t="n"/>
      <c r="K40" s="7" t="n">
        <v>30</v>
      </c>
      <c r="L40" s="7" t="n"/>
      <c r="M40" s="9">
        <f>IF(G40="round",PI()/4*J40^2,H40*I40)*K40*2.4/1000</f>
        <v/>
      </c>
      <c r="N40" s="7" t="n">
        <v>30281</v>
      </c>
      <c r="O40" s="7" t="n">
        <v>64220</v>
      </c>
    </row>
    <row r="41">
      <c r="A41" s="4" t="inlineStr">
        <is>
          <t>086</t>
        </is>
      </c>
      <c r="B41" s="4" t="inlineStr">
        <is>
          <t>U1</t>
        </is>
      </c>
      <c r="C41" s="5" t="inlineStr">
        <is>
          <t>SP_U1_0002</t>
        </is>
      </c>
      <c r="D41" s="4" t="n">
        <v>1</v>
      </c>
      <c r="E41" s="4" t="inlineStr">
        <is>
          <t>WDB115/80</t>
        </is>
      </c>
      <c r="F41" s="4" t="inlineStr">
        <is>
          <t>Wall</t>
        </is>
      </c>
      <c r="G41" s="4" t="inlineStr">
        <is>
          <t>rectangular</t>
        </is>
      </c>
      <c r="H41" s="4" t="n">
        <v>115</v>
      </c>
      <c r="I41" s="4" t="n">
        <v>80</v>
      </c>
      <c r="J41" s="4" t="n"/>
      <c r="K41" s="4" t="n">
        <v>30</v>
      </c>
      <c r="L41" s="4" t="n"/>
      <c r="M41" s="6">
        <f>IF(G41="round",PI()/4*J41^2,H41*I41)*K41*2.4/1000</f>
        <v/>
      </c>
      <c r="N41" s="4" t="n">
        <v>35101</v>
      </c>
      <c r="O41" s="4" t="n">
        <v>64351</v>
      </c>
    </row>
    <row r="42">
      <c r="A42" s="7" t="inlineStr">
        <is>
          <t>087</t>
        </is>
      </c>
      <c r="B42" s="7" t="inlineStr">
        <is>
          <t>U1</t>
        </is>
      </c>
      <c r="C42" s="8" t="inlineStr">
        <is>
          <t>SP_U1_0002</t>
        </is>
      </c>
      <c r="D42" s="4" t="n">
        <v>1</v>
      </c>
      <c r="E42" s="7" t="inlineStr">
        <is>
          <t>WDB60/30</t>
        </is>
      </c>
      <c r="F42" s="7" t="inlineStr">
        <is>
          <t>Wall</t>
        </is>
      </c>
      <c r="G42" s="7" t="inlineStr">
        <is>
          <t>rectangular</t>
        </is>
      </c>
      <c r="H42" s="7" t="n">
        <v>60</v>
      </c>
      <c r="I42" s="7" t="n">
        <v>30</v>
      </c>
      <c r="J42" s="7" t="n"/>
      <c r="K42" s="7" t="n">
        <v>30</v>
      </c>
      <c r="L42" s="7" t="n"/>
      <c r="M42" s="9">
        <f>IF(G42="round",PI()/4*J42^2,H42*I42)*K42*2.4/1000</f>
        <v/>
      </c>
      <c r="N42" s="7" t="n">
        <v>21941</v>
      </c>
      <c r="O42" s="7" t="n">
        <v>64368</v>
      </c>
    </row>
    <row r="43">
      <c r="A43" s="4" t="inlineStr">
        <is>
          <t>088</t>
        </is>
      </c>
      <c r="B43" s="4" t="inlineStr">
        <is>
          <t>U1</t>
        </is>
      </c>
      <c r="C43" s="5" t="inlineStr">
        <is>
          <t>SP_U1_0002</t>
        </is>
      </c>
      <c r="D43" s="4" t="n">
        <v>1</v>
      </c>
      <c r="E43" s="4" t="inlineStr">
        <is>
          <t>WDB60/30</t>
        </is>
      </c>
      <c r="F43" s="4" t="inlineStr">
        <is>
          <t>Wall</t>
        </is>
      </c>
      <c r="G43" s="4" t="inlineStr">
        <is>
          <t>rectangular</t>
        </is>
      </c>
      <c r="H43" s="4" t="n">
        <v>60</v>
      </c>
      <c r="I43" s="4" t="n">
        <v>30</v>
      </c>
      <c r="J43" s="4" t="n"/>
      <c r="K43" s="4" t="n">
        <v>30</v>
      </c>
      <c r="L43" s="4" t="n"/>
      <c r="M43" s="6">
        <f>IF(G43="round",PI()/4*J43^2,H43*I43)*K43*2.4/1000</f>
        <v/>
      </c>
      <c r="N43" s="4" t="n">
        <v>22394</v>
      </c>
      <c r="O43" s="4" t="n">
        <v>64436</v>
      </c>
    </row>
    <row r="44">
      <c r="A44" s="7" t="inlineStr">
        <is>
          <t>089</t>
        </is>
      </c>
      <c r="B44" s="7" t="inlineStr">
        <is>
          <t>U1</t>
        </is>
      </c>
      <c r="C44" s="8" t="inlineStr">
        <is>
          <t>SP_U1_0002</t>
        </is>
      </c>
      <c r="D44" s="4" t="n">
        <v>1</v>
      </c>
      <c r="E44" s="7" t="inlineStr">
        <is>
          <t>WDBØ20</t>
        </is>
      </c>
      <c r="F44" s="7" t="inlineStr">
        <is>
          <t>Wall</t>
        </is>
      </c>
      <c r="G44" s="7" t="inlineStr">
        <is>
          <t>round</t>
        </is>
      </c>
      <c r="H44" s="7" t="n"/>
      <c r="I44" s="7" t="n"/>
      <c r="J44" s="7" t="n">
        <v>20</v>
      </c>
      <c r="K44" s="7" t="n">
        <v>30</v>
      </c>
      <c r="L44" s="7" t="n"/>
      <c r="M44" s="9">
        <f>IF(G44="round",PI()/4*J44^2,H44*I44)*K44*2.4/1000</f>
        <v/>
      </c>
      <c r="N44" s="7" t="n">
        <v>5231</v>
      </c>
      <c r="O44" s="7" t="n">
        <v>66026</v>
      </c>
    </row>
    <row r="45">
      <c r="A45" s="4" t="inlineStr">
        <is>
          <t>090</t>
        </is>
      </c>
      <c r="B45" s="4" t="inlineStr">
        <is>
          <t>U1</t>
        </is>
      </c>
      <c r="C45" s="5" t="inlineStr">
        <is>
          <t>SP_U1_0002</t>
        </is>
      </c>
      <c r="D45" s="4" t="n">
        <v>1</v>
      </c>
      <c r="E45" s="4" t="inlineStr">
        <is>
          <t>WDB44/34</t>
        </is>
      </c>
      <c r="F45" s="4" t="inlineStr">
        <is>
          <t>Wall</t>
        </is>
      </c>
      <c r="G45" s="4" t="inlineStr">
        <is>
          <t>rectangular</t>
        </is>
      </c>
      <c r="H45" s="4" t="n">
        <v>44</v>
      </c>
      <c r="I45" s="4" t="n">
        <v>34</v>
      </c>
      <c r="J45" s="4" t="n"/>
      <c r="K45" s="4" t="n">
        <v>30</v>
      </c>
      <c r="L45" s="4" t="n"/>
      <c r="M45" s="6">
        <f>IF(G45="round",PI()/4*J45^2,H45*I45)*K45*2.4/1000</f>
        <v/>
      </c>
      <c r="N45" s="4" t="n">
        <v>3950</v>
      </c>
      <c r="O45" s="4" t="n">
        <v>66028</v>
      </c>
    </row>
    <row r="46">
      <c r="A46" s="7" t="inlineStr">
        <is>
          <t>091</t>
        </is>
      </c>
      <c r="B46" s="7" t="inlineStr">
        <is>
          <t>U1</t>
        </is>
      </c>
      <c r="C46" s="8" t="inlineStr">
        <is>
          <t>SP_U1_0002</t>
        </is>
      </c>
      <c r="D46" s="4" t="n">
        <v>1</v>
      </c>
      <c r="E46" s="7" t="inlineStr">
        <is>
          <t>WDBØ23</t>
        </is>
      </c>
      <c r="F46" s="7" t="inlineStr">
        <is>
          <t>Wall</t>
        </is>
      </c>
      <c r="G46" s="7" t="inlineStr">
        <is>
          <t>round</t>
        </is>
      </c>
      <c r="H46" s="7" t="n"/>
      <c r="I46" s="7" t="n"/>
      <c r="J46" s="7" t="n">
        <v>23</v>
      </c>
      <c r="K46" s="7" t="n">
        <v>30</v>
      </c>
      <c r="L46" s="7" t="n"/>
      <c r="M46" s="9">
        <f>IF(G46="round",PI()/4*J46^2,H46*I46)*K46*2.4/1000</f>
        <v/>
      </c>
      <c r="N46" s="7" t="n">
        <v>26754</v>
      </c>
      <c r="O46" s="7" t="n">
        <v>66185</v>
      </c>
    </row>
    <row r="47">
      <c r="A47" s="4" t="inlineStr">
        <is>
          <t>092</t>
        </is>
      </c>
      <c r="B47" s="4" t="inlineStr">
        <is>
          <t>U1</t>
        </is>
      </c>
      <c r="C47" s="5" t="inlineStr">
        <is>
          <t>SP_U1_0002</t>
        </is>
      </c>
      <c r="D47" s="4" t="n">
        <v>1</v>
      </c>
      <c r="E47" s="4" t="inlineStr">
        <is>
          <t>WDB23/23</t>
        </is>
      </c>
      <c r="F47" s="4" t="inlineStr">
        <is>
          <t>Wall</t>
        </is>
      </c>
      <c r="G47" s="4" t="inlineStr">
        <is>
          <t>rectangular</t>
        </is>
      </c>
      <c r="H47" s="4" t="n">
        <v>23</v>
      </c>
      <c r="I47" s="4" t="n">
        <v>23</v>
      </c>
      <c r="J47" s="4" t="n"/>
      <c r="K47" s="4" t="n">
        <v>30</v>
      </c>
      <c r="L47" s="4" t="n"/>
      <c r="M47" s="6">
        <f>IF(G47="round",PI()/4*J47^2,H47*I47)*K47*2.4/1000</f>
        <v/>
      </c>
      <c r="N47" s="4" t="n">
        <v>25491</v>
      </c>
      <c r="O47" s="4" t="n">
        <v>66186</v>
      </c>
    </row>
    <row r="48">
      <c r="A48" s="7" t="inlineStr">
        <is>
          <t>093</t>
        </is>
      </c>
      <c r="B48" s="7" t="inlineStr">
        <is>
          <t>U1</t>
        </is>
      </c>
      <c r="C48" s="8" t="inlineStr">
        <is>
          <t>SP_U1_0002</t>
        </is>
      </c>
      <c r="D48" s="4" t="n">
        <v>1</v>
      </c>
      <c r="E48" s="7" t="inlineStr">
        <is>
          <t>WDB25/55</t>
        </is>
      </c>
      <c r="F48" s="7" t="inlineStr">
        <is>
          <t>Wall</t>
        </is>
      </c>
      <c r="G48" s="7" t="inlineStr">
        <is>
          <t>rectangular</t>
        </is>
      </c>
      <c r="H48" s="7" t="n">
        <v>25</v>
      </c>
      <c r="I48" s="7" t="n">
        <v>55</v>
      </c>
      <c r="J48" s="7" t="n"/>
      <c r="K48" s="7" t="n">
        <v>30</v>
      </c>
      <c r="L48" s="7" t="n"/>
      <c r="M48" s="9">
        <f>IF(G48="round",PI()/4*J48^2,H48*I48)*K48*2.4/1000</f>
        <v/>
      </c>
      <c r="N48" s="7" t="n">
        <v>26310</v>
      </c>
      <c r="O48" s="7" t="n">
        <v>66186</v>
      </c>
    </row>
    <row r="49">
      <c r="A49" s="4" t="inlineStr">
        <is>
          <t>094</t>
        </is>
      </c>
      <c r="B49" s="4" t="inlineStr">
        <is>
          <t>U1</t>
        </is>
      </c>
      <c r="C49" s="5" t="inlineStr">
        <is>
          <t>SP_U1_0002</t>
        </is>
      </c>
      <c r="D49" s="4" t="n">
        <v>1</v>
      </c>
      <c r="E49" s="4" t="inlineStr">
        <is>
          <t>WDB110/15</t>
        </is>
      </c>
      <c r="F49" s="4" t="inlineStr">
        <is>
          <t>Wall</t>
        </is>
      </c>
      <c r="G49" s="4" t="inlineStr">
        <is>
          <t>rectangular</t>
        </is>
      </c>
      <c r="H49" s="4" t="n">
        <v>110</v>
      </c>
      <c r="I49" s="4" t="n">
        <v>15</v>
      </c>
      <c r="J49" s="4" t="n"/>
      <c r="K49" s="4" t="n">
        <v>30</v>
      </c>
      <c r="L49" s="4" t="n"/>
      <c r="M49" s="6">
        <f>IF(G49="round",PI()/4*J49^2,H49*I49)*K49*2.4/1000</f>
        <v/>
      </c>
      <c r="N49" s="4" t="n">
        <v>27324</v>
      </c>
      <c r="O49" s="4" t="n">
        <v>66186</v>
      </c>
    </row>
    <row r="50">
      <c r="A50" s="7" t="inlineStr">
        <is>
          <t>095</t>
        </is>
      </c>
      <c r="B50" s="7" t="inlineStr">
        <is>
          <t>U1</t>
        </is>
      </c>
      <c r="C50" s="8" t="inlineStr">
        <is>
          <t>SP_U1_0002</t>
        </is>
      </c>
      <c r="D50" s="4" t="n">
        <v>1</v>
      </c>
      <c r="E50" s="7" t="inlineStr">
        <is>
          <t>WDBØ23</t>
        </is>
      </c>
      <c r="F50" s="7" t="inlineStr">
        <is>
          <t>Wall</t>
        </is>
      </c>
      <c r="G50" s="7" t="inlineStr">
        <is>
          <t>round</t>
        </is>
      </c>
      <c r="H50" s="7" t="n"/>
      <c r="I50" s="7" t="n"/>
      <c r="J50" s="7" t="n">
        <v>23</v>
      </c>
      <c r="K50" s="7" t="n">
        <v>30</v>
      </c>
      <c r="L50" s="7" t="n"/>
      <c r="M50" s="9">
        <f>IF(G50="round",PI()/4*J50^2,H50*I50)*K50*2.4/1000</f>
        <v/>
      </c>
      <c r="N50" s="7" t="n">
        <v>14582</v>
      </c>
      <c r="O50" s="7" t="n">
        <v>66196</v>
      </c>
    </row>
    <row r="51">
      <c r="A51" s="4" t="inlineStr">
        <is>
          <t>096</t>
        </is>
      </c>
      <c r="B51" s="4" t="inlineStr">
        <is>
          <t>U1</t>
        </is>
      </c>
      <c r="C51" s="5" t="inlineStr">
        <is>
          <t>SP_U1_0002</t>
        </is>
      </c>
      <c r="D51" s="4" t="n">
        <v>1</v>
      </c>
      <c r="E51" s="4" t="inlineStr">
        <is>
          <t>WDB20/20</t>
        </is>
      </c>
      <c r="F51" s="4" t="inlineStr">
        <is>
          <t>Wall</t>
        </is>
      </c>
      <c r="G51" s="4" t="inlineStr">
        <is>
          <t>rectangular</t>
        </is>
      </c>
      <c r="H51" s="4" t="n">
        <v>20</v>
      </c>
      <c r="I51" s="4" t="n">
        <v>20</v>
      </c>
      <c r="J51" s="4" t="n"/>
      <c r="K51" s="4" t="n">
        <v>30</v>
      </c>
      <c r="L51" s="4" t="n"/>
      <c r="M51" s="6">
        <f>IF(G51="round",PI()/4*J51^2,H51*I51)*K51*2.4/1000</f>
        <v/>
      </c>
      <c r="N51" s="4" t="n">
        <v>30386</v>
      </c>
      <c r="O51" s="4" t="n">
        <v>66680</v>
      </c>
    </row>
    <row r="52">
      <c r="A52" s="7" t="inlineStr">
        <is>
          <t>097</t>
        </is>
      </c>
      <c r="B52" s="7" t="inlineStr">
        <is>
          <t>U1</t>
        </is>
      </c>
      <c r="C52" s="8" t="inlineStr">
        <is>
          <t>SP_U1_0002</t>
        </is>
      </c>
      <c r="D52" s="4" t="n">
        <v>1</v>
      </c>
      <c r="E52" s="7" t="inlineStr">
        <is>
          <t>WDB89/39</t>
        </is>
      </c>
      <c r="F52" s="7" t="inlineStr">
        <is>
          <t>Wall</t>
        </is>
      </c>
      <c r="G52" s="7" t="inlineStr">
        <is>
          <t>rectangular</t>
        </is>
      </c>
      <c r="H52" s="7" t="n">
        <v>89</v>
      </c>
      <c r="I52" s="7" t="n">
        <v>39</v>
      </c>
      <c r="J52" s="7" t="n"/>
      <c r="K52" s="7" t="n">
        <v>30</v>
      </c>
      <c r="L52" s="7" t="n"/>
      <c r="M52" s="9">
        <f>IF(G52="round",PI()/4*J52^2,H52*I52)*K52*2.4/1000</f>
        <v/>
      </c>
      <c r="N52" s="7" t="n">
        <v>15371</v>
      </c>
      <c r="O52" s="7" t="n">
        <v>67317</v>
      </c>
    </row>
    <row r="53">
      <c r="A53" s="4" t="inlineStr">
        <is>
          <t>098</t>
        </is>
      </c>
      <c r="B53" s="4" t="inlineStr">
        <is>
          <t>U1</t>
        </is>
      </c>
      <c r="C53" s="5" t="inlineStr">
        <is>
          <t>SP_U1_0002</t>
        </is>
      </c>
      <c r="D53" s="4" t="n">
        <v>1</v>
      </c>
      <c r="E53" s="4" t="inlineStr">
        <is>
          <t>WDB105/25</t>
        </is>
      </c>
      <c r="F53" s="4" t="inlineStr">
        <is>
          <t>Wall</t>
        </is>
      </c>
      <c r="G53" s="4" t="inlineStr">
        <is>
          <t>rectangular</t>
        </is>
      </c>
      <c r="H53" s="4" t="n">
        <v>105</v>
      </c>
      <c r="I53" s="4" t="n">
        <v>25</v>
      </c>
      <c r="J53" s="4" t="n"/>
      <c r="K53" s="4" t="n">
        <v>30</v>
      </c>
      <c r="L53" s="4" t="n"/>
      <c r="M53" s="6">
        <f>IF(G53="round",PI()/4*J53^2,H53*I53)*K53*2.4/1000</f>
        <v/>
      </c>
      <c r="N53" s="4" t="n">
        <v>4905</v>
      </c>
      <c r="O53" s="4" t="n">
        <v>68862</v>
      </c>
    </row>
    <row r="54">
      <c r="A54" s="7" t="inlineStr">
        <is>
          <t>099</t>
        </is>
      </c>
      <c r="B54" s="7" t="inlineStr">
        <is>
          <t>U1</t>
        </is>
      </c>
      <c r="C54" s="8" t="inlineStr">
        <is>
          <t>SP_U1_0002</t>
        </is>
      </c>
      <c r="D54" s="4" t="n">
        <v>1</v>
      </c>
      <c r="E54" s="7" t="inlineStr">
        <is>
          <t>WDBØ13</t>
        </is>
      </c>
      <c r="F54" s="7" t="inlineStr">
        <is>
          <t>Wall</t>
        </is>
      </c>
      <c r="G54" s="7" t="inlineStr">
        <is>
          <t>round</t>
        </is>
      </c>
      <c r="H54" s="7" t="n"/>
      <c r="I54" s="7" t="n"/>
      <c r="J54" s="7" t="n">
        <v>13</v>
      </c>
      <c r="K54" s="7" t="n">
        <v>30</v>
      </c>
      <c r="L54" s="7" t="n"/>
      <c r="M54" s="9">
        <f>IF(G54="round",PI()/4*J54^2,H54*I54)*K54*2.4/1000</f>
        <v/>
      </c>
      <c r="N54" s="7" t="n">
        <v>13009</v>
      </c>
      <c r="O54" s="7" t="n">
        <v>71397</v>
      </c>
    </row>
    <row r="55">
      <c r="A55" s="4" t="inlineStr">
        <is>
          <t>100</t>
        </is>
      </c>
      <c r="B55" s="4" t="inlineStr">
        <is>
          <t>U1</t>
        </is>
      </c>
      <c r="C55" s="5" t="inlineStr">
        <is>
          <t>SP_U1_0002</t>
        </is>
      </c>
      <c r="D55" s="4" t="n">
        <v>1</v>
      </c>
      <c r="E55" s="4" t="inlineStr">
        <is>
          <t>WDB55/25</t>
        </is>
      </c>
      <c r="F55" s="4" t="inlineStr">
        <is>
          <t>Wall</t>
        </is>
      </c>
      <c r="G55" s="4" t="inlineStr">
        <is>
          <t>rectangular</t>
        </is>
      </c>
      <c r="H55" s="4" t="n">
        <v>55</v>
      </c>
      <c r="I55" s="4" t="n">
        <v>25</v>
      </c>
      <c r="J55" s="4" t="n"/>
      <c r="K55" s="4" t="n">
        <v>30</v>
      </c>
      <c r="L55" s="4" t="n"/>
      <c r="M55" s="6">
        <f>IF(G55="round",PI()/4*J55^2,H55*I55)*K55*2.4/1000</f>
        <v/>
      </c>
      <c r="N55" s="4" t="n">
        <v>17097</v>
      </c>
      <c r="O55" s="4" t="n">
        <v>71512</v>
      </c>
    </row>
    <row r="56">
      <c r="A56" s="7" t="inlineStr">
        <is>
          <t>101</t>
        </is>
      </c>
      <c r="B56" s="7" t="inlineStr">
        <is>
          <t>U1</t>
        </is>
      </c>
      <c r="C56" s="8" t="inlineStr">
        <is>
          <t>SP_U1_0002</t>
        </is>
      </c>
      <c r="D56" s="4" t="n">
        <v>1</v>
      </c>
      <c r="E56" s="7" t="inlineStr">
        <is>
          <t>WDBØ10</t>
        </is>
      </c>
      <c r="F56" s="7" t="inlineStr">
        <is>
          <t>Wall</t>
        </is>
      </c>
      <c r="G56" s="7" t="inlineStr">
        <is>
          <t>round</t>
        </is>
      </c>
      <c r="H56" s="7" t="n"/>
      <c r="I56" s="7" t="n"/>
      <c r="J56" s="7" t="n">
        <v>10</v>
      </c>
      <c r="K56" s="7" t="n">
        <v>30</v>
      </c>
      <c r="L56" s="7" t="n"/>
      <c r="M56" s="9">
        <f>IF(G56="round",PI()/4*J56^2,H56*I56)*K56*2.4/1000</f>
        <v/>
      </c>
      <c r="N56" s="7" t="n">
        <v>27940</v>
      </c>
      <c r="O56" s="7" t="n">
        <v>71573</v>
      </c>
    </row>
    <row r="57">
      <c r="A57" s="4" t="inlineStr">
        <is>
          <t>102</t>
        </is>
      </c>
      <c r="B57" s="4" t="inlineStr">
        <is>
          <t>U1</t>
        </is>
      </c>
      <c r="C57" s="5" t="inlineStr">
        <is>
          <t>SP_U1_0002</t>
        </is>
      </c>
      <c r="D57" s="4" t="n">
        <v>1</v>
      </c>
      <c r="E57" s="4" t="inlineStr">
        <is>
          <t>WDBØ20</t>
        </is>
      </c>
      <c r="F57" s="4" t="inlineStr">
        <is>
          <t>Wall</t>
        </is>
      </c>
      <c r="G57" s="4" t="inlineStr">
        <is>
          <t>round</t>
        </is>
      </c>
      <c r="H57" s="4" t="n"/>
      <c r="I57" s="4" t="n"/>
      <c r="J57" s="4" t="n">
        <v>20</v>
      </c>
      <c r="K57" s="4" t="n">
        <v>30</v>
      </c>
      <c r="L57" s="4" t="n"/>
      <c r="M57" s="6">
        <f>IF(G57="round",PI()/4*J57^2,H57*I57)*K57*2.4/1000</f>
        <v/>
      </c>
      <c r="N57" s="4" t="n">
        <v>28962</v>
      </c>
      <c r="O57" s="4" t="n">
        <v>71573</v>
      </c>
    </row>
    <row r="58">
      <c r="A58" s="7" t="inlineStr">
        <is>
          <t>103</t>
        </is>
      </c>
      <c r="B58" s="7" t="inlineStr">
        <is>
          <t>U1</t>
        </is>
      </c>
      <c r="C58" s="8" t="inlineStr">
        <is>
          <t>SP_U1_0002</t>
        </is>
      </c>
      <c r="D58" s="4" t="n">
        <v>1</v>
      </c>
      <c r="E58" s="7" t="inlineStr">
        <is>
          <t>WDB75/36</t>
        </is>
      </c>
      <c r="F58" s="7" t="inlineStr">
        <is>
          <t>Wall</t>
        </is>
      </c>
      <c r="G58" s="7" t="inlineStr">
        <is>
          <t>rectangular</t>
        </is>
      </c>
      <c r="H58" s="7" t="n">
        <v>75</v>
      </c>
      <c r="I58" s="7" t="n">
        <v>36</v>
      </c>
      <c r="J58" s="7" t="n"/>
      <c r="K58" s="7" t="n">
        <v>30</v>
      </c>
      <c r="L58" s="7" t="n"/>
      <c r="M58" s="9">
        <f>IF(G58="round",PI()/4*J58^2,H58*I58)*K58*2.4/1000</f>
        <v/>
      </c>
      <c r="N58" s="7" t="n">
        <v>15359</v>
      </c>
      <c r="O58" s="7" t="n">
        <v>71605</v>
      </c>
    </row>
    <row r="59">
      <c r="A59" s="4" t="inlineStr">
        <is>
          <t>104</t>
        </is>
      </c>
      <c r="B59" s="4" t="inlineStr">
        <is>
          <t>U1</t>
        </is>
      </c>
      <c r="C59" s="5" t="inlineStr">
        <is>
          <t>SP_U1_0002</t>
        </is>
      </c>
      <c r="D59" s="4" t="n">
        <v>1</v>
      </c>
      <c r="E59" s="4" t="inlineStr">
        <is>
          <t>WDB50/15</t>
        </is>
      </c>
      <c r="F59" s="4" t="inlineStr">
        <is>
          <t>Wall</t>
        </is>
      </c>
      <c r="G59" s="4" t="inlineStr">
        <is>
          <t>rectangular</t>
        </is>
      </c>
      <c r="H59" s="4" t="n">
        <v>50</v>
      </c>
      <c r="I59" s="4" t="n">
        <v>15</v>
      </c>
      <c r="J59" s="4" t="n"/>
      <c r="K59" s="4" t="n">
        <v>30</v>
      </c>
      <c r="L59" s="4" t="n"/>
      <c r="M59" s="6">
        <f>IF(G59="round",PI()/4*J59^2,H59*I59)*K59*2.4/1000</f>
        <v/>
      </c>
      <c r="N59" s="4" t="n">
        <v>14368</v>
      </c>
      <c r="O59" s="4" t="n">
        <v>71605</v>
      </c>
    </row>
    <row r="60">
      <c r="A60" s="10" t="inlineStr">
        <is>
          <t>TOTAL</t>
        </is>
      </c>
      <c r="M60" s="11">
        <f>SUM(M5:M59)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104</v>
      </c>
    </row>
    <row r="5">
      <c r="A5" s="12" t="inlineStr">
        <is>
          <t>Unique openings (after dedup)</t>
        </is>
      </c>
      <c r="B5" s="13" t="n">
        <v>104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49</v>
      </c>
    </row>
    <row r="9">
      <c r="A9" s="14" t="inlineStr">
        <is>
          <t xml:space="preserve">  round (diameter)</t>
        </is>
      </c>
      <c r="B9" s="13" t="n">
        <v>29</v>
      </c>
    </row>
    <row r="10">
      <c r="A10" s="14" t="inlineStr">
        <is>
          <t xml:space="preserve">  rectangular</t>
        </is>
      </c>
      <c r="B10" s="13" t="n">
        <v>20</v>
      </c>
    </row>
    <row r="11">
      <c r="A11" s="14" t="inlineStr">
        <is>
          <t xml:space="preserve">  total weight (kg)</t>
        </is>
      </c>
      <c r="B11" s="13" t="n">
        <v>13955.5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2026-06-18T14:09:16Z</dcterms:created>
  <dcterms:modified xmlns:dcterms="http://purl.org/dc/terms/" xmlns:xsi="http://www.w3.org/2001/XMLSchema-instance" xsi:type="dcterms:W3CDTF">2026-06-18T14:09:17Z</dcterms:modified>
</cp:coreProperties>
</file>